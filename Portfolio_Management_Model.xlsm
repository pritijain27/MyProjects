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pritijain/Downloads/Financial Modeling/Fire610/"/>
    </mc:Choice>
  </mc:AlternateContent>
  <xr:revisionPtr revIDLastSave="0" documentId="13_ncr:1_{D7A095EC-8313-5948-9F20-5606B914DAE0}" xr6:coauthVersionLast="47" xr6:coauthVersionMax="47" xr10:uidLastSave="{00000000-0000-0000-0000-000000000000}"/>
  <bookViews>
    <workbookView xWindow="0" yWindow="760" windowWidth="29400" windowHeight="17220" activeTab="5" xr2:uid="{E00EE100-66CD-E44B-B349-A60BD54FCD17}"/>
  </bookViews>
  <sheets>
    <sheet name="2 asset portfolio" sheetId="1" r:id="rId1"/>
    <sheet name="3 asset portfolio" sheetId="2" r:id="rId2"/>
    <sheet name="n asset portfolio" sheetId="3" r:id="rId3"/>
    <sheet name="port_OPT_not_eff" sheetId="4" r:id="rId4"/>
    <sheet name="Portfolio Envelope" sheetId="5" r:id="rId5"/>
    <sheet name="Effcient frontier" sheetId="6" r:id="rId6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6" l="1" a="1"/>
  <c r="B18" i="6"/>
  <c r="C15" i="6" a="1"/>
  <c r="C15" i="6"/>
  <c r="D145" i="6"/>
  <c r="B144" i="6"/>
  <c r="B140" i="6"/>
  <c r="B141" i="6"/>
  <c r="B142" i="6"/>
  <c r="B143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25" i="6"/>
  <c r="B21" i="6"/>
  <c r="D23" i="6"/>
  <c r="C16" i="6" a="1"/>
  <c r="C16" i="6"/>
  <c r="C18" i="6" a="1"/>
  <c r="C18" i="6"/>
  <c r="B20" i="6"/>
  <c r="C23" i="6"/>
  <c r="B9" i="6" a="1"/>
  <c r="B9" i="6"/>
  <c r="B10" i="6"/>
  <c r="B11" i="6"/>
  <c r="B12" i="6"/>
  <c r="B15" i="6" a="1"/>
  <c r="B15" i="6"/>
  <c r="C9" i="6" a="1"/>
  <c r="C9" i="6"/>
  <c r="C10" i="6"/>
  <c r="C11" i="6"/>
  <c r="C12" i="6"/>
  <c r="C17" i="6"/>
  <c r="D9" i="6" a="1"/>
  <c r="D9" i="6"/>
  <c r="D10" i="6"/>
  <c r="D11" i="6"/>
  <c r="D12" i="6"/>
  <c r="D15" i="6" a="1"/>
  <c r="D15" i="6"/>
  <c r="D16" i="6" a="1"/>
  <c r="D16" i="6"/>
  <c r="B16" i="6" a="1"/>
  <c r="B16" i="6"/>
  <c r="D18" i="6" a="1"/>
  <c r="D18" i="6"/>
  <c r="D17" i="6"/>
  <c r="B17" i="6"/>
  <c r="D150" i="5"/>
  <c r="D148" i="5"/>
  <c r="D149" i="5"/>
  <c r="D147" i="5"/>
  <c r="C150" i="5"/>
  <c r="C149" i="5"/>
  <c r="C148" i="5"/>
  <c r="C147" i="5"/>
  <c r="C21" i="5"/>
  <c r="B23" i="5"/>
  <c r="D25" i="5"/>
  <c r="B24" i="5"/>
  <c r="C25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27" i="5"/>
  <c r="C18" i="5" a="1"/>
  <c r="C18" i="5"/>
  <c r="B18" i="5" a="1"/>
  <c r="B18" i="5"/>
  <c r="C17" i="5"/>
  <c r="B17" i="5"/>
  <c r="C16" i="5" a="1"/>
  <c r="C16" i="5"/>
  <c r="B16" i="5" a="1"/>
  <c r="B16" i="5"/>
  <c r="C15" i="5" a="1"/>
  <c r="C15" i="5"/>
  <c r="B15" i="5" a="1"/>
  <c r="B15" i="5"/>
  <c r="K2" i="5"/>
  <c r="K3" i="5"/>
  <c r="K4" i="5"/>
  <c r="K5" i="5"/>
  <c r="J3" i="5"/>
  <c r="J4" i="5"/>
  <c r="J5" i="5"/>
  <c r="J2" i="5"/>
  <c r="H38" i="4"/>
  <c r="H37" i="4" a="1"/>
  <c r="H37" i="4"/>
  <c r="H35" i="4"/>
  <c r="I34" i="4"/>
  <c r="I35" i="4"/>
  <c r="H34" i="4"/>
  <c r="B19" i="4"/>
  <c r="D22" i="4"/>
  <c r="B20" i="4"/>
  <c r="C2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25" i="4"/>
  <c r="B26" i="4"/>
  <c r="B27" i="4"/>
  <c r="B28" i="4"/>
  <c r="B29" i="4"/>
  <c r="B30" i="4"/>
  <c r="B31" i="4"/>
  <c r="B32" i="4"/>
  <c r="B24" i="4"/>
  <c r="B17" i="4"/>
  <c r="C13" i="4" a="1"/>
  <c r="C13" i="4"/>
  <c r="B13" i="4" a="1"/>
  <c r="B13" i="4"/>
  <c r="C12" i="4" a="1"/>
  <c r="C12" i="4"/>
  <c r="B12" i="4" a="1"/>
  <c r="B12" i="4"/>
  <c r="C11" i="4" a="1"/>
  <c r="C11" i="4"/>
  <c r="B11" i="4" a="1"/>
  <c r="B11" i="4"/>
  <c r="B8" i="5" a="1"/>
  <c r="B8" i="5"/>
  <c r="B9" i="5"/>
  <c r="B10" i="5"/>
  <c r="B11" i="5"/>
  <c r="C8" i="5"/>
  <c r="C11" i="5"/>
  <c r="C10" i="5"/>
  <c r="C9" i="5"/>
  <c r="G8" i="5" a="1"/>
  <c r="G8" i="5"/>
  <c r="G9" i="5"/>
  <c r="G10" i="5"/>
  <c r="G11" i="5"/>
  <c r="H8" i="5"/>
  <c r="H11" i="5"/>
  <c r="H10" i="5"/>
  <c r="H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<sst xmlns="http://schemas.openxmlformats.org/spreadsheetml/2006/main" count="151" uniqueCount="71">
  <si>
    <t>WIGHTS</t>
  </si>
  <si>
    <t>MEAN</t>
  </si>
  <si>
    <t>VAR</t>
  </si>
  <si>
    <t>STDEV</t>
  </si>
  <si>
    <t>COVAR</t>
  </si>
  <si>
    <t>aapl</t>
  </si>
  <si>
    <t>goog</t>
  </si>
  <si>
    <t>AAPL</t>
  </si>
  <si>
    <t>GOOG</t>
  </si>
  <si>
    <t>E(RP)</t>
  </si>
  <si>
    <t>var</t>
  </si>
  <si>
    <t>or</t>
  </si>
  <si>
    <t>AMZN</t>
  </si>
  <si>
    <t>correl</t>
  </si>
  <si>
    <t>sigma12/sigma1*sigma2</t>
  </si>
  <si>
    <t>E(rp)</t>
  </si>
  <si>
    <t>IOO</t>
  </si>
  <si>
    <t>SPY</t>
  </si>
  <si>
    <t>EFA</t>
  </si>
  <si>
    <t>EEM</t>
  </si>
  <si>
    <t>Return</t>
  </si>
  <si>
    <t>wt</t>
  </si>
  <si>
    <t>Erp</t>
  </si>
  <si>
    <t>=MMULT(C23:I23,TRANSPOSE(C22:I22))</t>
  </si>
  <si>
    <t>{=MMULT(MMULT(C23:I23,D26:J32),TRANSPOSE(C23:I23))}</t>
  </si>
  <si>
    <t>stdev</t>
  </si>
  <si>
    <t>=SQRT(C35)</t>
  </si>
  <si>
    <t>Var-Covar, S</t>
  </si>
  <si>
    <t>Asset 1</t>
  </si>
  <si>
    <t>Asset 2</t>
  </si>
  <si>
    <t>Asset 3</t>
  </si>
  <si>
    <t>Asset 4</t>
  </si>
  <si>
    <t>Mean Return</t>
  </si>
  <si>
    <t>Weights</t>
  </si>
  <si>
    <t>Portfolio x</t>
  </si>
  <si>
    <t>Portfolio y</t>
  </si>
  <si>
    <t>x</t>
  </si>
  <si>
    <t>y</t>
  </si>
  <si>
    <t>tip:</t>
  </si>
  <si>
    <t>drag to change weight in y after anchoring in x</t>
  </si>
  <si>
    <t>var(P)</t>
  </si>
  <si>
    <t>Covar(x,y)</t>
  </si>
  <si>
    <t>mmult weight of x, var-covar table, transpose weight of y</t>
  </si>
  <si>
    <t>mmult weight of y, var-covar table, transpose weight of x</t>
  </si>
  <si>
    <t>Wt(x)</t>
  </si>
  <si>
    <t>Wt(y)</t>
  </si>
  <si>
    <t>ret(p)</t>
  </si>
  <si>
    <t>E (R) - C</t>
  </si>
  <si>
    <t xml:space="preserve">weight of efficient portfolio </t>
  </si>
  <si>
    <t>Merton proposition on Envelope Portfolio</t>
  </si>
  <si>
    <t>normalize to get weights</t>
  </si>
  <si>
    <t>objective: construct envelope using merton proposition</t>
  </si>
  <si>
    <t>if you assume constant c, m inverse x varcovar - c</t>
  </si>
  <si>
    <t>normalise by dividing sum of the numr</t>
  </si>
  <si>
    <t>mean</t>
  </si>
  <si>
    <t>variance</t>
  </si>
  <si>
    <t>covar (xy)</t>
  </si>
  <si>
    <t>ret</t>
  </si>
  <si>
    <t xml:space="preserve">4 assets are inefficient and out of the curve but combining those assets have a curve and we have efficient </t>
  </si>
  <si>
    <t>and ineffcient areas</t>
  </si>
  <si>
    <t>c</t>
  </si>
  <si>
    <t>x; c=0%</t>
  </si>
  <si>
    <t>y; c=5%</t>
  </si>
  <si>
    <t xml:space="preserve"> </t>
  </si>
  <si>
    <t>WT</t>
  </si>
  <si>
    <t>RET</t>
  </si>
  <si>
    <t>z</t>
  </si>
  <si>
    <t>WEIGHTS</t>
  </si>
  <si>
    <t>z; c=6%</t>
  </si>
  <si>
    <t>PF x  weight</t>
  </si>
  <si>
    <t>PF y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</si>
</sst>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%"/>
    <numFmt numFmtId="166" formatCode="0.0%"/>
    <numFmt numFmtId="167" formatCode="0.0000"/>
    <numFmt numFmtId="168" formatCode="0.000"/>
  </numFmts>
  <fonts count="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9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1" applyFont="1"/>
    <xf numFmtId="0" fontId="2" fillId="0" borderId="0" xfId="0" applyFont="1"/>
    <xf numFmtId="10" fontId="2" fillId="0" borderId="0" xfId="1" applyNumberFormat="1" applyFont="1"/>
    <xf numFmtId="9" fontId="2" fillId="0" borderId="0" xfId="1" applyFont="1"/>
    <xf numFmtId="9" fontId="2" fillId="0" borderId="0" xfId="0" applyNumberFormat="1" applyFont="1"/>
    <xf numFmtId="10" fontId="2" fillId="0" borderId="0" xfId="0" applyNumberFormat="1" applyFont="1"/>
    <xf numFmtId="166" fontId="2" fillId="0" borderId="0" xfId="0" applyNumberFormat="1" applyFont="1"/>
    <xf numFmtId="10" fontId="0" fillId="0" borderId="0" xfId="1" applyNumberFormat="1" applyFont="1"/>
    <xf numFmtId="165" fontId="0" fillId="0" borderId="0" xfId="1" applyNumberFormat="1" applyFont="1"/>
    <xf numFmtId="2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2" borderId="0" xfId="0" applyFill="1"/>
    <xf numFmtId="0" fontId="0" fillId="0" borderId="1" xfId="0" applyBorder="1"/>
    <xf numFmtId="9" fontId="0" fillId="0" borderId="1" xfId="0" applyNumberFormat="1" applyBorder="1"/>
    <xf numFmtId="10" fontId="0" fillId="0" borderId="1" xfId="0" applyNumberFormat="1" applyBorder="1"/>
    <xf numFmtId="0" fontId="0" fillId="0" borderId="0" xfId="0" applyBorder="1"/>
    <xf numFmtId="10" fontId="0" fillId="0" borderId="0" xfId="0" applyNumberFormat="1" applyBorder="1"/>
    <xf numFmtId="166" fontId="0" fillId="0" borderId="1" xfId="1" applyNumberFormat="1" applyFont="1" applyBorder="1"/>
    <xf numFmtId="9" fontId="0" fillId="0" borderId="1" xfId="1" applyFont="1" applyBorder="1"/>
    <xf numFmtId="0" fontId="2" fillId="2" borderId="0" xfId="0" applyFont="1" applyFill="1"/>
    <xf numFmtId="2" fontId="0" fillId="0" borderId="1" xfId="0" applyNumberFormat="1" applyBorder="1"/>
    <xf numFmtId="0" fontId="0" fillId="3" borderId="0" xfId="0" applyFill="1"/>
    <xf numFmtId="10" fontId="0" fillId="3" borderId="0" xfId="1" applyNumberFormat="1" applyFont="1" applyFill="1" applyBorder="1"/>
    <xf numFmtId="10" fontId="0" fillId="3" borderId="0" xfId="1" applyNumberFormat="1" applyFont="1" applyFill="1"/>
    <xf numFmtId="2" fontId="0" fillId="3" borderId="0" xfId="0" applyNumberFormat="1" applyFill="1"/>
    <xf numFmtId="167" fontId="0" fillId="0" borderId="1" xfId="0" applyNumberFormat="1" applyBorder="1"/>
    <xf numFmtId="0" fontId="0" fillId="3" borderId="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Envelope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port_OPT_not_eff!$C$23:$C$63</c:f>
              <c:numCache>
                <c:formatCode>0%</c:formatCode>
                <c:ptCount val="41"/>
                <c:pt idx="0">
                  <c:v>1.2083873551142448</c:v>
                </c:pt>
                <c:pt idx="1">
                  <c:v>1.1673654098010613</c:v>
                </c:pt>
                <c:pt idx="2">
                  <c:v>1.126467043459328</c:v>
                </c:pt>
                <c:pt idx="3">
                  <c:v>1.0857062217745646</c:v>
                </c:pt>
                <c:pt idx="4">
                  <c:v>1.0450990383690915</c:v>
                </c:pt>
                <c:pt idx="5">
                  <c:v>1.0046641229784208</c:v>
                </c:pt>
                <c:pt idx="6">
                  <c:v>0.96442314364598247</c:v>
                </c:pt>
                <c:pt idx="7">
                  <c:v>0.92440142795216385</c:v>
                </c:pt>
                <c:pt idx="8">
                  <c:v>0.88462873568520239</c:v>
                </c:pt>
                <c:pt idx="9">
                  <c:v>0.84514022505144049</c:v>
                </c:pt>
                <c:pt idx="10">
                  <c:v>0.8059776671843949</c:v>
                </c:pt>
                <c:pt idx="11">
                  <c:v>0.76719098013467257</c:v>
                </c:pt>
                <c:pt idx="12">
                  <c:v>0.72884017452387984</c:v>
                </c:pt>
                <c:pt idx="13">
                  <c:v>0.69099782922958564</c:v>
                </c:pt>
                <c:pt idx="14">
                  <c:v>0.65375224665005904</c:v>
                </c:pt>
                <c:pt idx="15">
                  <c:v>0.61721147105347918</c:v>
                </c:pt>
                <c:pt idx="16">
                  <c:v>0.5815083834305399</c:v>
                </c:pt>
                <c:pt idx="17">
                  <c:v>0.54680709578424436</c:v>
                </c:pt>
                <c:pt idx="18">
                  <c:v>0.51331082201722555</c:v>
                </c:pt>
                <c:pt idx="19">
                  <c:v>0.48127123329781496</c:v>
                </c:pt>
                <c:pt idx="20">
                  <c:v>0.45099889135118704</c:v>
                </c:pt>
                <c:pt idx="21">
                  <c:v>0.42287350354449954</c:v>
                </c:pt>
                <c:pt idx="22">
                  <c:v>0.39735123002200445</c:v>
                </c:pt>
                <c:pt idx="23">
                  <c:v>0.37496399827183396</c:v>
                </c:pt>
                <c:pt idx="24">
                  <c:v>0.35630324163554833</c:v>
                </c:pt>
                <c:pt idx="25">
                  <c:v>0.34197953155123179</c:v>
                </c:pt>
                <c:pt idx="26">
                  <c:v>0.33255375505322443</c:v>
                </c:pt>
                <c:pt idx="27">
                  <c:v>0.3284478649648982</c:v>
                </c:pt>
                <c:pt idx="28">
                  <c:v>0.32986057660775414</c:v>
                </c:pt>
                <c:pt idx="29">
                  <c:v>0.3367224376248189</c:v>
                </c:pt>
                <c:pt idx="30">
                  <c:v>0.34871191548325398</c:v>
                </c:pt>
                <c:pt idx="31">
                  <c:v>0.36532451327552623</c:v>
                </c:pt>
                <c:pt idx="32">
                  <c:v>0.38596372886580954</c:v>
                </c:pt>
                <c:pt idx="33">
                  <c:v>0.41002195063191466</c:v>
                </c:pt>
                <c:pt idx="34">
                  <c:v>0.43693477774148431</c:v>
                </c:pt>
                <c:pt idx="35">
                  <c:v>0.46620810803760199</c:v>
                </c:pt>
                <c:pt idx="36">
                  <c:v>0.4974253712869906</c:v>
                </c:pt>
                <c:pt idx="37">
                  <c:v>0.53024334036364895</c:v>
                </c:pt>
                <c:pt idx="38">
                  <c:v>0.56438284878263323</c:v>
                </c:pt>
                <c:pt idx="39">
                  <c:v>0.59961821186485043</c:v>
                </c:pt>
                <c:pt idx="40">
                  <c:v>0.63576725301009385</c:v>
                </c:pt>
              </c:numCache>
            </c:numRef>
          </c:xVal>
          <c:yVal>
            <c:numRef>
              <c:f>port_OPT_not_eff!$D$23:$D$63</c:f>
              <c:numCache>
                <c:formatCode>0%</c:formatCode>
                <c:ptCount val="41"/>
                <c:pt idx="0">
                  <c:v>0.17799999999999996</c:v>
                </c:pt>
                <c:pt idx="1">
                  <c:v>0.17509999999999995</c:v>
                </c:pt>
                <c:pt idx="2">
                  <c:v>0.17219999999999996</c:v>
                </c:pt>
                <c:pt idx="3">
                  <c:v>0.16929999999999995</c:v>
                </c:pt>
                <c:pt idx="4">
                  <c:v>0.16639999999999996</c:v>
                </c:pt>
                <c:pt idx="5">
                  <c:v>0.16349999999999995</c:v>
                </c:pt>
                <c:pt idx="6">
                  <c:v>0.16059999999999997</c:v>
                </c:pt>
                <c:pt idx="7">
                  <c:v>0.15769999999999995</c:v>
                </c:pt>
                <c:pt idx="8">
                  <c:v>0.15479999999999994</c:v>
                </c:pt>
                <c:pt idx="9">
                  <c:v>0.15189999999999995</c:v>
                </c:pt>
                <c:pt idx="10">
                  <c:v>0.14899999999999994</c:v>
                </c:pt>
                <c:pt idx="11">
                  <c:v>0.14609999999999995</c:v>
                </c:pt>
                <c:pt idx="12">
                  <c:v>0.14319999999999997</c:v>
                </c:pt>
                <c:pt idx="13">
                  <c:v>0.14029999999999998</c:v>
                </c:pt>
                <c:pt idx="14">
                  <c:v>0.13739999999999994</c:v>
                </c:pt>
                <c:pt idx="15">
                  <c:v>0.13449999999999995</c:v>
                </c:pt>
                <c:pt idx="16">
                  <c:v>0.13159999999999999</c:v>
                </c:pt>
                <c:pt idx="17">
                  <c:v>0.12869999999999998</c:v>
                </c:pt>
                <c:pt idx="18">
                  <c:v>0.12579999999999997</c:v>
                </c:pt>
                <c:pt idx="19">
                  <c:v>0.12289999999999998</c:v>
                </c:pt>
                <c:pt idx="20">
                  <c:v>0.11999999999999997</c:v>
                </c:pt>
                <c:pt idx="21">
                  <c:v>0.11709999999999998</c:v>
                </c:pt>
                <c:pt idx="22">
                  <c:v>0.11419999999999998</c:v>
                </c:pt>
                <c:pt idx="23">
                  <c:v>0.11129999999999997</c:v>
                </c:pt>
                <c:pt idx="24">
                  <c:v>0.10839999999999997</c:v>
                </c:pt>
                <c:pt idx="25">
                  <c:v>0.10549999999999998</c:v>
                </c:pt>
                <c:pt idx="26">
                  <c:v>0.10259999999999998</c:v>
                </c:pt>
                <c:pt idx="27">
                  <c:v>9.9699999999999983E-2</c:v>
                </c:pt>
                <c:pt idx="28">
                  <c:v>9.6799999999999983E-2</c:v>
                </c:pt>
                <c:pt idx="29">
                  <c:v>9.3899999999999983E-2</c:v>
                </c:pt>
                <c:pt idx="30">
                  <c:v>9.0999999999999984E-2</c:v>
                </c:pt>
                <c:pt idx="31">
                  <c:v>8.8099999999999984E-2</c:v>
                </c:pt>
                <c:pt idx="32">
                  <c:v>8.5199999999999984E-2</c:v>
                </c:pt>
                <c:pt idx="33">
                  <c:v>8.2299999999999984E-2</c:v>
                </c:pt>
                <c:pt idx="34">
                  <c:v>7.9399999999999971E-2</c:v>
                </c:pt>
                <c:pt idx="35">
                  <c:v>7.6499999999999985E-2</c:v>
                </c:pt>
                <c:pt idx="36">
                  <c:v>7.3599999999999971E-2</c:v>
                </c:pt>
                <c:pt idx="37">
                  <c:v>7.0699999999999985E-2</c:v>
                </c:pt>
                <c:pt idx="38">
                  <c:v>6.7799999999999971E-2</c:v>
                </c:pt>
                <c:pt idx="39">
                  <c:v>6.4899999999999999E-2</c:v>
                </c:pt>
                <c:pt idx="40">
                  <c:v>6.1999999999999972E-2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AF-3E4D-9401-E1733C5C9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211359"/>
        <c:axId val="1696472895"/>
      </c:scatterChart>
      <c:valAx>
        <c:axId val="1696211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472895"/>
        <c:crosses val="autoZero"/>
        <c:crossBetween val="midCat"/>
      </c:valAx>
      <c:valAx>
        <c:axId val="1696472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211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Portfolio Envelope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'Portfolio Envelope'!$D$25</c:f>
              <c:strCache>
                <c:ptCount val="1"/>
                <c:pt idx="0">
                  <c:v>12%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'Portfolio Envelope'!$C$26:$C$150</c:f>
              <c:numCache>
                <c:formatCode>0%</c:formatCode>
                <c:ptCount val="125"/>
                <c:pt idx="0">
                  <c:v>1.1257623657847888</c:v>
                </c:pt>
                <c:pt idx="1">
                  <c:v>1.1140141755790209</c:v>
                </c:pt>
                <c:pt idx="2">
                  <c:v>1.1022734036787374</c:v>
                </c:pt>
                <c:pt idx="3">
                  <c:v>1.0905402896807035</c:v>
                </c:pt>
                <c:pt idx="4">
                  <c:v>1.0788150834453045</c:v>
                </c:pt>
                <c:pt idx="5">
                  <c:v>1.0670980456425674</c:v>
                </c:pt>
                <c:pt idx="6">
                  <c:v>1.0553894483327644</c:v>
                </c:pt>
                <c:pt idx="7">
                  <c:v>1.043689575584114</c:v>
                </c:pt>
                <c:pt idx="8">
                  <c:v>1.0319987241303266</c:v>
                </c:pt>
                <c:pt idx="9">
                  <c:v>1.0203172040709483</c:v>
                </c:pt>
                <c:pt idx="10">
                  <c:v>1.0086453396177242</c:v>
                </c:pt>
                <c:pt idx="11">
                  <c:v>0.99698346989045561</c:v>
                </c:pt>
                <c:pt idx="12">
                  <c:v>0.98533194976613503</c:v>
                </c:pt>
                <c:pt idx="13">
                  <c:v>0.9736911507854612</c:v>
                </c:pt>
                <c:pt idx="14">
                  <c:v>0.96206146212118893</c:v>
                </c:pt>
                <c:pt idx="15">
                  <c:v>0.95044329161316365</c:v>
                </c:pt>
                <c:pt idx="16">
                  <c:v>0.93883706687530855</c:v>
                </c:pt>
                <c:pt idx="17">
                  <c:v>0.92724323648030071</c:v>
                </c:pt>
                <c:pt idx="18">
                  <c:v>0.91566227122818256</c:v>
                </c:pt>
                <c:pt idx="19">
                  <c:v>0.90409466550572404</c:v>
                </c:pt>
                <c:pt idx="20">
                  <c:v>0.89254093874394469</c:v>
                </c:pt>
                <c:pt idx="21">
                  <c:v>0.88100163698190603</c:v>
                </c:pt>
                <c:pt idx="22">
                  <c:v>0.8694773345456086</c:v>
                </c:pt>
                <c:pt idx="23">
                  <c:v>0.85796863585164729</c:v>
                </c:pt>
                <c:pt idx="24">
                  <c:v>0.84647617734617842</c:v>
                </c:pt>
                <c:pt idx="25">
                  <c:v>0.83500062959073429</c:v>
                </c:pt>
                <c:pt idx="26">
                  <c:v>0.82354269950750458</c:v>
                </c:pt>
                <c:pt idx="27">
                  <c:v>0.81210313279789481</c:v>
                </c:pt>
                <c:pt idx="28">
                  <c:v>0.80068271654948575</c:v>
                </c:pt>
                <c:pt idx="29">
                  <c:v>0.7892822820479598</c:v>
                </c:pt>
                <c:pt idx="30">
                  <c:v>0.77790270781214521</c:v>
                </c:pt>
                <c:pt idx="31">
                  <c:v>0.7665449228720792</c:v>
                </c:pt>
                <c:pt idx="32">
                  <c:v>0.7552099103119071</c:v>
                </c:pt>
                <c:pt idx="33">
                  <c:v>0.74389871110154282</c:v>
                </c:pt>
                <c:pt idx="34">
                  <c:v>0.73261242824334916</c:v>
                </c:pt>
                <c:pt idx="35">
                  <c:v>0.72135223126261838</c:v>
                </c:pt>
                <c:pt idx="36">
                  <c:v>0.71011936107344753</c:v>
                </c:pt>
                <c:pt idx="37">
                  <c:v>0.69891513525465065</c:v>
                </c:pt>
                <c:pt idx="38">
                  <c:v>0.68774095377369626</c:v>
                </c:pt>
                <c:pt idx="39">
                  <c:v>0.67659830520031761</c:v>
                </c:pt>
                <c:pt idx="40">
                  <c:v>0.66548877345541524</c:v>
                </c:pt>
                <c:pt idx="41">
                  <c:v>0.65441404514520118</c:v>
                </c:pt>
                <c:pt idx="42">
                  <c:v>0.64337591753521473</c:v>
                </c:pt>
                <c:pt idx="43">
                  <c:v>0.63237630722388349</c:v>
                </c:pt>
                <c:pt idx="44">
                  <c:v>0.62141725958072103</c:v>
                </c:pt>
                <c:pt idx="45">
                  <c:v>0.61050095902002699</c:v>
                </c:pt>
                <c:pt idx="46">
                  <c:v>0.59962974018705417</c:v>
                </c:pt>
                <c:pt idx="47">
                  <c:v>0.58880610014000134</c:v>
                </c:pt>
                <c:pt idx="48">
                  <c:v>0.57803271161779601</c:v>
                </c:pt>
                <c:pt idx="49">
                  <c:v>0.567312437490338</c:v>
                </c:pt>
                <c:pt idx="50">
                  <c:v>0.55664834649453276</c:v>
                </c:pt>
                <c:pt idx="51">
                  <c:v>0.54604373036582665</c:v>
                </c:pt>
                <c:pt idx="52">
                  <c:v>0.53550212248077944</c:v>
                </c:pt>
                <c:pt idx="53">
                  <c:v>0.52502731813104131</c:v>
                </c:pt>
                <c:pt idx="54">
                  <c:v>0.51462339655245881</c:v>
                </c:pt>
                <c:pt idx="55">
                  <c:v>0.50429474483417602</c:v>
                </c:pt>
                <c:pt idx="56">
                  <c:v>0.49404608383065451</c:v>
                </c:pt>
                <c:pt idx="57">
                  <c:v>0.48388249619334966</c:v>
                </c:pt>
                <c:pt idx="58">
                  <c:v>0.47380945662689122</c:v>
                </c:pt>
                <c:pt idx="59">
                  <c:v>0.46383286445517691</c:v>
                </c:pt>
                <c:pt idx="60">
                  <c:v>0.45395907855354206</c:v>
                </c:pt>
                <c:pt idx="61">
                  <c:v>0.44419495466127168</c:v>
                </c:pt>
                <c:pt idx="62">
                  <c:v>0.43454788503079744</c:v>
                </c:pt>
                <c:pt idx="63">
                  <c:v>0.42502584029187096</c:v>
                </c:pt>
                <c:pt idx="64">
                  <c:v>0.41563741330605042</c:v>
                </c:pt>
                <c:pt idx="65">
                  <c:v>0.40639186465348925</c:v>
                </c:pt>
                <c:pt idx="66">
                  <c:v>0.39729916922414665</c:v>
                </c:pt>
                <c:pt idx="67">
                  <c:v>0.38837006317263451</c:v>
                </c:pt>
                <c:pt idx="68">
                  <c:v>0.37961609023340526</c:v>
                </c:pt>
                <c:pt idx="69">
                  <c:v>0.37104964607494156</c:v>
                </c:pt>
                <c:pt idx="70">
                  <c:v>0.36268401899372926</c:v>
                </c:pt>
                <c:pt idx="71">
                  <c:v>0.35453342480986172</c:v>
                </c:pt>
                <c:pt idx="72">
                  <c:v>0.3466130333300203</c:v>
                </c:pt>
                <c:pt idx="73">
                  <c:v>0.33893898320188476</c:v>
                </c:pt>
                <c:pt idx="74">
                  <c:v>0.33152838141926699</c:v>
                </c:pt>
                <c:pt idx="75">
                  <c:v>0.32439928318646499</c:v>
                </c:pt>
                <c:pt idx="76">
                  <c:v>0.31757064736868768</c:v>
                </c:pt>
                <c:pt idx="77">
                  <c:v>0.31106226241912449</c:v>
                </c:pt>
                <c:pt idx="78">
                  <c:v>0.30489463758043189</c:v>
                </c:pt>
                <c:pt idx="79">
                  <c:v>0.29908885442651212</c:v>
                </c:pt>
                <c:pt idx="80">
                  <c:v>0.29366637456795364</c:v>
                </c:pt>
                <c:pt idx="81">
                  <c:v>0.28864880071545362</c:v>
                </c:pt>
                <c:pt idx="82">
                  <c:v>0.28405759037546507</c:v>
                </c:pt>
                <c:pt idx="83">
                  <c:v>0.27991372427629047</c:v>
                </c:pt>
                <c:pt idx="84">
                  <c:v>0.27623733512940019</c:v>
                </c:pt>
                <c:pt idx="85">
                  <c:v>0.27304730632881868</c:v>
                </c:pt>
                <c:pt idx="86">
                  <c:v>0.27036085434159429</c:v>
                </c:pt>
                <c:pt idx="87">
                  <c:v>0.26819311236508581</c:v>
                </c:pt>
                <c:pt idx="88">
                  <c:v>0.26655673574811073</c:v>
                </c:pt>
                <c:pt idx="89">
                  <c:v>0.26546155111082759</c:v>
                </c:pt>
                <c:pt idx="90">
                  <c:v>0.26491427057919464</c:v>
                </c:pt>
                <c:pt idx="91">
                  <c:v>0.26491828983237203</c:v>
                </c:pt>
                <c:pt idx="92">
                  <c:v>0.26547358383043007</c:v>
                </c:pt>
                <c:pt idx="93">
                  <c:v>0.26657670758844992</c:v>
                </c:pt>
                <c:pt idx="94">
                  <c:v>0.26822090194182346</c:v>
                </c:pt>
                <c:pt idx="95">
                  <c:v>0.27039629683324884</c:v>
                </c:pt>
                <c:pt idx="96">
                  <c:v>0.27309019817021152</c:v>
                </c:pt>
                <c:pt idx="97">
                  <c:v>0.27628743949918916</c:v>
                </c:pt>
                <c:pt idx="98">
                  <c:v>0.27997077705762891</c:v>
                </c:pt>
                <c:pt idx="99">
                  <c:v>0.28412130627664789</c:v>
                </c:pt>
                <c:pt idx="100">
                  <c:v>0.2887188792706617</c:v>
                </c:pt>
                <c:pt idx="101">
                  <c:v>0.29374250578887412</c:v>
                </c:pt>
                <c:pt idx="102">
                  <c:v>0.29917072393502758</c:v>
                </c:pt>
                <c:pt idx="103">
                  <c:v>0.30498193111289718</c:v>
                </c:pt>
                <c:pt idx="104">
                  <c:v>0.31115466964800187</c:v>
                </c:pt>
                <c:pt idx="105">
                  <c:v>0.31766786503362932</c:v>
                </c:pt>
                <c:pt idx="106">
                  <c:v>0.32450101756258487</c:v>
                </c:pt>
                <c:pt idx="107">
                  <c:v>0.33163435017522463</c:v>
                </c:pt>
                <c:pt idx="108">
                  <c:v>0.33904891671556187</c:v>
                </c:pt>
                <c:pt idx="109">
                  <c:v>0.34672667553666853</c:v>
                </c:pt>
                <c:pt idx="110">
                  <c:v>0.3546505336585386</c:v>
                </c:pt>
                <c:pt idx="111">
                  <c:v>0.36280436658442233</c:v>
                </c:pt>
                <c:pt idx="112">
                  <c:v>0.37117301854259749</c:v>
                </c:pt>
                <c:pt idx="113">
                  <c:v>0.37974228743739463</c:v>
                </c:pt>
                <c:pt idx="114">
                  <c:v>0.38849889824194861</c:v>
                </c:pt>
                <c:pt idx="115">
                  <c:v>0.39743046800049547</c:v>
                </c:pt>
                <c:pt idx="116">
                  <c:v>0.40652546506687548</c:v>
                </c:pt>
                <c:pt idx="117">
                  <c:v>0.41577316471057629</c:v>
                </c:pt>
                <c:pt idx="118">
                  <c:v>0.42516360278358517</c:v>
                </c:pt>
                <c:pt idx="119">
                  <c:v>0.43468752876434208</c:v>
                </c:pt>
                <c:pt idx="120">
                  <c:v>0.44433635917786896</c:v>
                </c:pt>
                <c:pt idx="121">
                  <c:v>0.31622776601683794</c:v>
                </c:pt>
                <c:pt idx="122">
                  <c:v>0.54772255750516607</c:v>
                </c:pt>
                <c:pt idx="123">
                  <c:v>0.63245553203367588</c:v>
                </c:pt>
                <c:pt idx="124">
                  <c:v>0.70710678118654757</c:v>
                </c:pt>
              </c:numCache>
            </c:numRef>
          </c:xVal>
          <c:yVal>
            <c:numRef>
              <c:f>'Portfolio Envelope'!$D$26:$D$150</c:f>
              <c:numCache>
                <c:formatCode>0%</c:formatCode>
                <c:ptCount val="125"/>
                <c:pt idx="0">
                  <c:v>0.22709557789056473</c:v>
                </c:pt>
                <c:pt idx="1">
                  <c:v>0.22542844056980155</c:v>
                </c:pt>
                <c:pt idx="2">
                  <c:v>0.22376130324903848</c:v>
                </c:pt>
                <c:pt idx="3">
                  <c:v>0.22209416592827536</c:v>
                </c:pt>
                <c:pt idx="4">
                  <c:v>0.22042702860751223</c:v>
                </c:pt>
                <c:pt idx="5">
                  <c:v>0.21875989128674911</c:v>
                </c:pt>
                <c:pt idx="6">
                  <c:v>0.21709275396598599</c:v>
                </c:pt>
                <c:pt idx="7">
                  <c:v>0.21542561664522289</c:v>
                </c:pt>
                <c:pt idx="8">
                  <c:v>0.21375847932445974</c:v>
                </c:pt>
                <c:pt idx="9">
                  <c:v>0.21209134200369661</c:v>
                </c:pt>
                <c:pt idx="10">
                  <c:v>0.21042420468293352</c:v>
                </c:pt>
                <c:pt idx="11">
                  <c:v>0.20875706736217037</c:v>
                </c:pt>
                <c:pt idx="12">
                  <c:v>0.20708993004140727</c:v>
                </c:pt>
                <c:pt idx="13">
                  <c:v>0.20542279272064418</c:v>
                </c:pt>
                <c:pt idx="14">
                  <c:v>0.203755655399881</c:v>
                </c:pt>
                <c:pt idx="15">
                  <c:v>0.2020885180791179</c:v>
                </c:pt>
                <c:pt idx="16">
                  <c:v>0.20042138075835481</c:v>
                </c:pt>
                <c:pt idx="17">
                  <c:v>0.19875424343759165</c:v>
                </c:pt>
                <c:pt idx="18">
                  <c:v>0.19708710611682853</c:v>
                </c:pt>
                <c:pt idx="19">
                  <c:v>0.19541996879606538</c:v>
                </c:pt>
                <c:pt idx="20">
                  <c:v>0.19375283147530228</c:v>
                </c:pt>
                <c:pt idx="21">
                  <c:v>0.19208569415453922</c:v>
                </c:pt>
                <c:pt idx="22">
                  <c:v>0.19041855683377601</c:v>
                </c:pt>
                <c:pt idx="23">
                  <c:v>0.18875141951301289</c:v>
                </c:pt>
                <c:pt idx="24">
                  <c:v>0.18708428219224979</c:v>
                </c:pt>
                <c:pt idx="25">
                  <c:v>0.18541714487148667</c:v>
                </c:pt>
                <c:pt idx="26">
                  <c:v>0.18375000755072352</c:v>
                </c:pt>
                <c:pt idx="27">
                  <c:v>0.18208287022996039</c:v>
                </c:pt>
                <c:pt idx="28">
                  <c:v>0.18041573290919724</c:v>
                </c:pt>
                <c:pt idx="29">
                  <c:v>0.17874859558843417</c:v>
                </c:pt>
                <c:pt idx="30">
                  <c:v>0.17708145826767102</c:v>
                </c:pt>
                <c:pt idx="31">
                  <c:v>0.17541432094690784</c:v>
                </c:pt>
                <c:pt idx="32">
                  <c:v>0.17374718362614475</c:v>
                </c:pt>
                <c:pt idx="33">
                  <c:v>0.17208004630538168</c:v>
                </c:pt>
                <c:pt idx="34">
                  <c:v>0.17041290898461847</c:v>
                </c:pt>
                <c:pt idx="35">
                  <c:v>0.16874577166385535</c:v>
                </c:pt>
                <c:pt idx="36">
                  <c:v>0.16707863434309228</c:v>
                </c:pt>
                <c:pt idx="37">
                  <c:v>0.16541149702232913</c:v>
                </c:pt>
                <c:pt idx="38">
                  <c:v>0.16374435970156598</c:v>
                </c:pt>
                <c:pt idx="39">
                  <c:v>0.1620772223808028</c:v>
                </c:pt>
                <c:pt idx="40">
                  <c:v>0.16041008506003973</c:v>
                </c:pt>
                <c:pt idx="41">
                  <c:v>0.15874294773927658</c:v>
                </c:pt>
                <c:pt idx="42">
                  <c:v>0.15707581041851348</c:v>
                </c:pt>
                <c:pt idx="43">
                  <c:v>0.15540867309775033</c:v>
                </c:pt>
                <c:pt idx="44">
                  <c:v>0.15374153577698718</c:v>
                </c:pt>
                <c:pt idx="45">
                  <c:v>0.15207439845622409</c:v>
                </c:pt>
                <c:pt idx="46">
                  <c:v>0.15040726113546093</c:v>
                </c:pt>
                <c:pt idx="47">
                  <c:v>0.14874012381469781</c:v>
                </c:pt>
                <c:pt idx="48">
                  <c:v>0.14707298649393472</c:v>
                </c:pt>
                <c:pt idx="49">
                  <c:v>0.14540584917317156</c:v>
                </c:pt>
                <c:pt idx="50">
                  <c:v>0.14373871185240844</c:v>
                </c:pt>
                <c:pt idx="51">
                  <c:v>0.14207157453164529</c:v>
                </c:pt>
                <c:pt idx="52">
                  <c:v>0.14040443721088219</c:v>
                </c:pt>
                <c:pt idx="53">
                  <c:v>0.13873729989011907</c:v>
                </c:pt>
                <c:pt idx="54">
                  <c:v>0.13707016256935592</c:v>
                </c:pt>
                <c:pt idx="55">
                  <c:v>0.13540302524859282</c:v>
                </c:pt>
                <c:pt idx="56">
                  <c:v>0.1337358879278297</c:v>
                </c:pt>
                <c:pt idx="57">
                  <c:v>0.13206875060706655</c:v>
                </c:pt>
                <c:pt idx="58">
                  <c:v>0.13040161328630345</c:v>
                </c:pt>
                <c:pt idx="59">
                  <c:v>0.1287344759655403</c:v>
                </c:pt>
                <c:pt idx="60">
                  <c:v>0.12706733864477715</c:v>
                </c:pt>
                <c:pt idx="61">
                  <c:v>0.12540020132401405</c:v>
                </c:pt>
                <c:pt idx="62">
                  <c:v>0.12373306400325092</c:v>
                </c:pt>
                <c:pt idx="63">
                  <c:v>0.12206592668248779</c:v>
                </c:pt>
                <c:pt idx="64">
                  <c:v>0.12039878936172467</c:v>
                </c:pt>
                <c:pt idx="65">
                  <c:v>0.11873165204096153</c:v>
                </c:pt>
                <c:pt idx="66">
                  <c:v>0.11706451472019841</c:v>
                </c:pt>
                <c:pt idx="67">
                  <c:v>0.11539737739943529</c:v>
                </c:pt>
                <c:pt idx="68">
                  <c:v>0.11373024007867216</c:v>
                </c:pt>
                <c:pt idx="69">
                  <c:v>0.11206310275790902</c:v>
                </c:pt>
                <c:pt idx="70">
                  <c:v>0.1103959654371459</c:v>
                </c:pt>
                <c:pt idx="71">
                  <c:v>0.10872882811638278</c:v>
                </c:pt>
                <c:pt idx="72">
                  <c:v>0.10706169079561964</c:v>
                </c:pt>
                <c:pt idx="73">
                  <c:v>0.10539455347485652</c:v>
                </c:pt>
                <c:pt idx="74">
                  <c:v>0.10372741615409339</c:v>
                </c:pt>
                <c:pt idx="75">
                  <c:v>0.10206027883333027</c:v>
                </c:pt>
                <c:pt idx="76">
                  <c:v>0.10039314151256713</c:v>
                </c:pt>
                <c:pt idx="77">
                  <c:v>9.8726004191803995E-2</c:v>
                </c:pt>
                <c:pt idx="78">
                  <c:v>9.7058866871040872E-2</c:v>
                </c:pt>
                <c:pt idx="79">
                  <c:v>9.5391729550277748E-2</c:v>
                </c:pt>
                <c:pt idx="80">
                  <c:v>9.3724592229514611E-2</c:v>
                </c:pt>
                <c:pt idx="81">
                  <c:v>9.2057454908751501E-2</c:v>
                </c:pt>
                <c:pt idx="82">
                  <c:v>9.0390317587988378E-2</c:v>
                </c:pt>
                <c:pt idx="83">
                  <c:v>8.8723180267225241E-2</c:v>
                </c:pt>
                <c:pt idx="84">
                  <c:v>8.7056042946462117E-2</c:v>
                </c:pt>
                <c:pt idx="85">
                  <c:v>8.538890562569898E-2</c:v>
                </c:pt>
                <c:pt idx="86">
                  <c:v>8.3721768304935856E-2</c:v>
                </c:pt>
                <c:pt idx="87">
                  <c:v>8.2054630984172705E-2</c:v>
                </c:pt>
                <c:pt idx="88">
                  <c:v>8.0387493663409595E-2</c:v>
                </c:pt>
                <c:pt idx="89">
                  <c:v>7.8720356342646458E-2</c:v>
                </c:pt>
                <c:pt idx="90">
                  <c:v>7.7053219021883335E-2</c:v>
                </c:pt>
                <c:pt idx="91">
                  <c:v>7.5386081701120225E-2</c:v>
                </c:pt>
                <c:pt idx="92">
                  <c:v>7.3718944380357074E-2</c:v>
                </c:pt>
                <c:pt idx="93">
                  <c:v>7.2051807059593964E-2</c:v>
                </c:pt>
                <c:pt idx="94">
                  <c:v>7.0384669738830827E-2</c:v>
                </c:pt>
                <c:pt idx="95">
                  <c:v>6.8717532418067703E-2</c:v>
                </c:pt>
                <c:pt idx="96">
                  <c:v>6.7050395097304566E-2</c:v>
                </c:pt>
                <c:pt idx="97">
                  <c:v>6.5383257776541442E-2</c:v>
                </c:pt>
                <c:pt idx="98">
                  <c:v>6.3716120455778305E-2</c:v>
                </c:pt>
                <c:pt idx="99">
                  <c:v>6.2048983135015195E-2</c:v>
                </c:pt>
                <c:pt idx="100">
                  <c:v>6.0381845814252044E-2</c:v>
                </c:pt>
                <c:pt idx="101">
                  <c:v>5.8714708493488921E-2</c:v>
                </c:pt>
                <c:pt idx="102">
                  <c:v>5.7047571172725825E-2</c:v>
                </c:pt>
                <c:pt idx="103">
                  <c:v>5.5380433851962674E-2</c:v>
                </c:pt>
                <c:pt idx="104">
                  <c:v>5.371329653119955E-2</c:v>
                </c:pt>
                <c:pt idx="105">
                  <c:v>5.2046159210436455E-2</c:v>
                </c:pt>
                <c:pt idx="106">
                  <c:v>5.0379021889673331E-2</c:v>
                </c:pt>
                <c:pt idx="107">
                  <c:v>4.871188456891018E-2</c:v>
                </c:pt>
                <c:pt idx="108">
                  <c:v>4.7044747248147084E-2</c:v>
                </c:pt>
                <c:pt idx="109">
                  <c:v>4.5377609927383961E-2</c:v>
                </c:pt>
                <c:pt idx="110">
                  <c:v>4.3710472606620837E-2</c:v>
                </c:pt>
                <c:pt idx="111">
                  <c:v>4.2043335285857741E-2</c:v>
                </c:pt>
                <c:pt idx="112">
                  <c:v>4.037619796509459E-2</c:v>
                </c:pt>
                <c:pt idx="113">
                  <c:v>3.8709060644331467E-2</c:v>
                </c:pt>
                <c:pt idx="114">
                  <c:v>3.7041923323568315E-2</c:v>
                </c:pt>
                <c:pt idx="115">
                  <c:v>3.5374786002805247E-2</c:v>
                </c:pt>
                <c:pt idx="116">
                  <c:v>3.3707648682042096E-2</c:v>
                </c:pt>
                <c:pt idx="117">
                  <c:v>3.2040511361279E-2</c:v>
                </c:pt>
                <c:pt idx="118">
                  <c:v>3.0373374040515877E-2</c:v>
                </c:pt>
                <c:pt idx="119">
                  <c:v>2.8706236719752726E-2</c:v>
                </c:pt>
                <c:pt idx="120">
                  <c:v>2.703909939898963E-2</c:v>
                </c:pt>
                <c:pt idx="121">
                  <c:v>0.06</c:v>
                </c:pt>
                <c:pt idx="122">
                  <c:v>0.08</c:v>
                </c:pt>
                <c:pt idx="123">
                  <c:v>0.1</c:v>
                </c:pt>
                <c:pt idx="124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16-114D-9CB7-0371B227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361551"/>
        <c:axId val="2099471631"/>
      </c:scatterChart>
      <c:valAx>
        <c:axId val="201836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471631"/>
        <c:crosses val="autoZero"/>
        <c:crossBetween val="midCat"/>
      </c:valAx>
      <c:valAx>
        <c:axId val="2099471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361551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'Effcient frontier'!$D$23</c:f>
              <c:strCache>
                <c:ptCount val="1"/>
                <c:pt idx="0">
                  <c:v>14%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'Effcient frontier'!$C$24:$C$145</c:f>
              <c:numCache>
                <c:formatCode>0%</c:formatCode>
                <c:ptCount val="122"/>
                <c:pt idx="0">
                  <c:v>2.0201718897155327</c:v>
                </c:pt>
                <c:pt idx="1">
                  <c:v>1.9969283108522606</c:v>
                </c:pt>
                <c:pt idx="2">
                  <c:v>1.9736895757859458</c:v>
                </c:pt>
                <c:pt idx="3">
                  <c:v>1.9504558576510655</c:v>
                </c:pt>
                <c:pt idx="4">
                  <c:v>1.9272273378927065</c:v>
                </c:pt>
                <c:pt idx="5">
                  <c:v>1.9040042067687422</c:v>
                </c:pt>
                <c:pt idx="6">
                  <c:v>1.8807866638886852</c:v>
                </c:pt>
                <c:pt idx="7">
                  <c:v>1.857574918792348</c:v>
                </c:pt>
                <c:pt idx="8">
                  <c:v>1.8343691915717708</c:v>
                </c:pt>
                <c:pt idx="9">
                  <c:v>1.8111697135402167</c:v>
                </c:pt>
                <c:pt idx="10">
                  <c:v>1.7879767279524179</c:v>
                </c:pt>
                <c:pt idx="11">
                  <c:v>1.7647904907806828</c:v>
                </c:pt>
                <c:pt idx="12">
                  <c:v>1.7416112715519549</c:v>
                </c:pt>
                <c:pt idx="13">
                  <c:v>1.7184393542514429</c:v>
                </c:pt>
                <c:pt idx="14">
                  <c:v>1.6952750382990425</c:v>
                </c:pt>
                <c:pt idx="15">
                  <c:v>1.6721186396054344</c:v>
                </c:pt>
                <c:pt idx="16">
                  <c:v>1.6489704917154955</c:v>
                </c:pt>
                <c:pt idx="17">
                  <c:v>1.6258309470474974</c:v>
                </c:pt>
                <c:pt idx="18">
                  <c:v>1.6027003782375189</c:v>
                </c:pt>
                <c:pt idx="19">
                  <c:v>1.5795791795995588</c:v>
                </c:pt>
                <c:pt idx="20">
                  <c:v>1.5564677687130402</c:v>
                </c:pt>
                <c:pt idx="21">
                  <c:v>1.5333665881507559</c:v>
                </c:pt>
                <c:pt idx="22">
                  <c:v>1.5102761073618403</c:v>
                </c:pt>
                <c:pt idx="23">
                  <c:v>1.487196824726096</c:v>
                </c:pt>
                <c:pt idx="24">
                  <c:v>1.46412926979797</c:v>
                </c:pt>
                <c:pt idx="25">
                  <c:v>1.441074005760737</c:v>
                </c:pt>
                <c:pt idx="26">
                  <c:v>1.4180316321139881</c:v>
                </c:pt>
                <c:pt idx="27">
                  <c:v>1.3950027876204512</c:v>
                </c:pt>
                <c:pt idx="28">
                  <c:v>1.3719881535414964</c:v>
                </c:pt>
                <c:pt idx="29">
                  <c:v>1.3489884571944954</c:v>
                </c:pt>
                <c:pt idx="30">
                  <c:v>1.3260044758695839</c:v>
                </c:pt>
                <c:pt idx="31">
                  <c:v>1.3030370411483931</c:v>
                </c:pt>
                <c:pt idx="32">
                  <c:v>1.2800870436731069</c:v>
                </c:pt>
                <c:pt idx="33">
                  <c:v>1.2571554384208641</c:v>
                </c:pt>
                <c:pt idx="34">
                  <c:v>1.2342432505462444</c:v>
                </c:pt>
                <c:pt idx="35">
                  <c:v>1.2113515818634859</c:v>
                </c:pt>
                <c:pt idx="36">
                  <c:v>1.1884816180504372</c:v>
                </c:pt>
                <c:pt idx="37">
                  <c:v>1.1656346366682855</c:v>
                </c:pt>
                <c:pt idx="38">
                  <c:v>1.1428120161051121</c:v>
                </c:pt>
                <c:pt idx="39">
                  <c:v>1.1200152455676937</c:v>
                </c:pt>
                <c:pt idx="40">
                  <c:v>1.0972459362651097</c:v>
                </c:pt>
                <c:pt idx="41">
                  <c:v>1.0745058339501641</c:v>
                </c:pt>
                <c:pt idx="42">
                  <c:v>1.0517968330110068</c:v>
                </c:pt>
                <c:pt idx="43">
                  <c:v>1.0291209923363891</c:v>
                </c:pt>
                <c:pt idx="44">
                  <c:v>1.0064805532146612</c:v>
                </c:pt>
                <c:pt idx="45">
                  <c:v>0.98387795956996171</c:v>
                </c:pt>
                <c:pt idx="46">
                  <c:v>0.96131588089046849</c:v>
                </c:pt>
                <c:pt idx="47">
                  <c:v>0.9387972382646258</c:v>
                </c:pt>
                <c:pt idx="48">
                  <c:v>0.91632523401397425</c:v>
                </c:pt>
                <c:pt idx="49">
                  <c:v>0.89390338549792159</c:v>
                </c:pt>
                <c:pt idx="50">
                  <c:v>0.87153556376944963</c:v>
                </c:pt>
                <c:pt idx="51">
                  <c:v>0.84922603788486362</c:v>
                </c:pt>
                <c:pt idx="52">
                  <c:v>0.82697952581954559</c:v>
                </c:pt>
                <c:pt idx="53">
                  <c:v>0.80480125312043482</c:v>
                </c:pt>
                <c:pt idx="54">
                  <c:v>0.78269702064089197</c:v>
                </c:pt>
                <c:pt idx="55">
                  <c:v>0.76067328296216685</c:v>
                </c:pt>
                <c:pt idx="56">
                  <c:v>0.73873723941680225</c:v>
                </c:pt>
                <c:pt idx="57">
                  <c:v>0.71689694000342863</c:v>
                </c:pt>
                <c:pt idx="58">
                  <c:v>0.69516140893162837</c:v>
                </c:pt>
                <c:pt idx="59">
                  <c:v>0.67354078907348935</c:v>
                </c:pt>
                <c:pt idx="60">
                  <c:v>0.65204651123986235</c:v>
                </c:pt>
                <c:pt idx="61">
                  <c:v>0.63069149295897287</c:v>
                </c:pt>
                <c:pt idx="62">
                  <c:v>0.60949037232590109</c:v>
                </c:pt>
                <c:pt idx="63">
                  <c:v>0.58845978352094541</c:v>
                </c:pt>
                <c:pt idx="64">
                  <c:v>0.56761868175869223</c:v>
                </c:pt>
                <c:pt idx="65">
                  <c:v>0.54698872670086895</c:v>
                </c:pt>
                <c:pt idx="66">
                  <c:v>0.52659473467801177</c:v>
                </c:pt>
                <c:pt idx="67">
                  <c:v>0.50646521128284661</c:v>
                </c:pt>
                <c:pt idx="68">
                  <c:v>0.48663297677547113</c:v>
                </c:pt>
                <c:pt idx="69">
                  <c:v>0.46713589685158968</c:v>
                </c:pt>
                <c:pt idx="70">
                  <c:v>0.44801772996805278</c:v>
                </c:pt>
                <c:pt idx="71">
                  <c:v>0.42932909847868461</c:v>
                </c:pt>
                <c:pt idx="72">
                  <c:v>0.41112858260125645</c:v>
                </c:pt>
                <c:pt idx="73">
                  <c:v>0.3934839212208312</c:v>
                </c:pt>
                <c:pt idx="74">
                  <c:v>0.37647327831245814</c:v>
                </c:pt>
                <c:pt idx="75">
                  <c:v>0.36018649406070585</c:v>
                </c:pt>
                <c:pt idx="76">
                  <c:v>0.34472618107791192</c:v>
                </c:pt>
                <c:pt idx="77">
                  <c:v>0.33020844558215773</c:v>
                </c:pt>
                <c:pt idx="78">
                  <c:v>0.31676291345959895</c:v>
                </c:pt>
                <c:pt idx="79">
                  <c:v>0.30453163604040717</c:v>
                </c:pt>
                <c:pt idx="80">
                  <c:v>0.2936663745679538</c:v>
                </c:pt>
                <c:pt idx="81">
                  <c:v>0.28432377661871605</c:v>
                </c:pt>
                <c:pt idx="82">
                  <c:v>0.27665814382732062</c:v>
                </c:pt>
                <c:pt idx="83">
                  <c:v>0.27081191875106309</c:v>
                </c:pt>
                <c:pt idx="84">
                  <c:v>0.26690468397106004</c:v>
                </c:pt>
                <c:pt idx="85">
                  <c:v>0.26502221323910857</c:v>
                </c:pt>
                <c:pt idx="86">
                  <c:v>0.26520762600465453</c:v>
                </c:pt>
                <c:pt idx="87">
                  <c:v>0.26745662165723055</c:v>
                </c:pt>
                <c:pt idx="88">
                  <c:v>0.27171796451831876</c:v>
                </c:pt>
                <c:pt idx="89">
                  <c:v>0.27789909717748768</c:v>
                </c:pt>
                <c:pt idx="90">
                  <c:v>0.28587551902629282</c:v>
                </c:pt>
                <c:pt idx="91">
                  <c:v>0.29550188618932172</c:v>
                </c:pt>
                <c:pt idx="92">
                  <c:v>0.30662283884398844</c:v>
                </c:pt>
                <c:pt idx="93">
                  <c:v>0.31908214311749145</c:v>
                </c:pt>
                <c:pt idx="94">
                  <c:v>0.33272948623252663</c:v>
                </c:pt>
                <c:pt idx="95">
                  <c:v>0.34742489282876093</c:v>
                </c:pt>
                <c:pt idx="96">
                  <c:v>0.36304111268835104</c:v>
                </c:pt>
                <c:pt idx="97">
                  <c:v>0.37946447929064592</c:v>
                </c:pt>
                <c:pt idx="98">
                  <c:v>0.39659473115644289</c:v>
                </c:pt>
                <c:pt idx="99">
                  <c:v>0.41434420318762311</c:v>
                </c:pt>
                <c:pt idx="100">
                  <c:v>0.4326366892043792</c:v>
                </c:pt>
                <c:pt idx="101">
                  <c:v>0.45140617981223075</c:v>
                </c:pt>
                <c:pt idx="102">
                  <c:v>0.47059560314140453</c:v>
                </c:pt>
                <c:pt idx="103">
                  <c:v>0.49015564101189119</c:v>
                </c:pt>
                <c:pt idx="104">
                  <c:v>0.51004365630006443</c:v>
                </c:pt>
                <c:pt idx="105">
                  <c:v>0.53022274417880644</c:v>
                </c:pt>
                <c:pt idx="106">
                  <c:v>0.55066090632391396</c:v>
                </c:pt>
                <c:pt idx="107">
                  <c:v>0.57133033987252091</c:v>
                </c:pt>
                <c:pt idx="108">
                  <c:v>0.59220682954575177</c:v>
                </c:pt>
                <c:pt idx="109">
                  <c:v>0.61326923032124891</c:v>
                </c:pt>
                <c:pt idx="110">
                  <c:v>0.63449902833133465</c:v>
                </c:pt>
                <c:pt idx="111">
                  <c:v>0.65587996862566544</c:v>
                </c:pt>
                <c:pt idx="112">
                  <c:v>0.67739773968607575</c:v>
                </c:pt>
                <c:pt idx="113">
                  <c:v>0.69903970589345721</c:v>
                </c:pt>
                <c:pt idx="114">
                  <c:v>0.72079468040200068</c:v>
                </c:pt>
                <c:pt idx="115">
                  <c:v>0.74265273201708371</c:v>
                </c:pt>
                <c:pt idx="116">
                  <c:v>0.76460502067764358</c:v>
                </c:pt>
                <c:pt idx="117">
                  <c:v>0.78664365701052108</c:v>
                </c:pt>
                <c:pt idx="118">
                  <c:v>0.80876158216171323</c:v>
                </c:pt>
                <c:pt idx="119">
                  <c:v>0.83095246473125894</c:v>
                </c:pt>
                <c:pt idx="120">
                  <c:v>0.853210612159504</c:v>
                </c:pt>
                <c:pt idx="121" formatCode="0.00%">
                  <c:v>0.45400000000000001</c:v>
                </c:pt>
              </c:numCache>
            </c:numRef>
          </c:xVal>
          <c:yVal>
            <c:numRef>
              <c:f>'Effcient frontier'!$D$24:$D$145</c:f>
              <c:numCache>
                <c:formatCode>0%</c:formatCode>
                <c:ptCount val="122"/>
                <c:pt idx="0">
                  <c:v>0.35236959696212616</c:v>
                </c:pt>
                <c:pt idx="1">
                  <c:v>0.34913653440296849</c:v>
                </c:pt>
                <c:pt idx="2">
                  <c:v>0.34590347184381087</c:v>
                </c:pt>
                <c:pt idx="3">
                  <c:v>0.3426704092846532</c:v>
                </c:pt>
                <c:pt idx="4">
                  <c:v>0.33943734672549564</c:v>
                </c:pt>
                <c:pt idx="5">
                  <c:v>0.33620428416633802</c:v>
                </c:pt>
                <c:pt idx="6">
                  <c:v>0.33297122160718035</c:v>
                </c:pt>
                <c:pt idx="7">
                  <c:v>0.32973815904802273</c:v>
                </c:pt>
                <c:pt idx="8">
                  <c:v>0.32650509648886505</c:v>
                </c:pt>
                <c:pt idx="9">
                  <c:v>0.32327203392970738</c:v>
                </c:pt>
                <c:pt idx="10">
                  <c:v>0.32003897137054982</c:v>
                </c:pt>
                <c:pt idx="11">
                  <c:v>0.3168059088113922</c:v>
                </c:pt>
                <c:pt idx="12">
                  <c:v>0.31357284625223458</c:v>
                </c:pt>
                <c:pt idx="13">
                  <c:v>0.31033978369307691</c:v>
                </c:pt>
                <c:pt idx="14">
                  <c:v>0.30710672113391924</c:v>
                </c:pt>
                <c:pt idx="15">
                  <c:v>0.30387365857476156</c:v>
                </c:pt>
                <c:pt idx="16">
                  <c:v>0.30064059601560406</c:v>
                </c:pt>
                <c:pt idx="17">
                  <c:v>0.29740753345644644</c:v>
                </c:pt>
                <c:pt idx="18">
                  <c:v>0.29417447089728876</c:v>
                </c:pt>
                <c:pt idx="19">
                  <c:v>0.29094140833813109</c:v>
                </c:pt>
                <c:pt idx="20">
                  <c:v>0.28770834577897353</c:v>
                </c:pt>
                <c:pt idx="21">
                  <c:v>0.28447528321981586</c:v>
                </c:pt>
                <c:pt idx="22">
                  <c:v>0.28124222066065818</c:v>
                </c:pt>
                <c:pt idx="23">
                  <c:v>0.27800915810150051</c:v>
                </c:pt>
                <c:pt idx="24">
                  <c:v>0.27477609554234284</c:v>
                </c:pt>
                <c:pt idx="25">
                  <c:v>0.27154303298318527</c:v>
                </c:pt>
                <c:pt idx="26">
                  <c:v>0.2683099704240276</c:v>
                </c:pt>
                <c:pt idx="27">
                  <c:v>0.26507690786486993</c:v>
                </c:pt>
                <c:pt idx="28">
                  <c:v>0.26184384530571225</c:v>
                </c:pt>
                <c:pt idx="29">
                  <c:v>0.25861078274655469</c:v>
                </c:pt>
                <c:pt idx="30">
                  <c:v>0.25537772018739702</c:v>
                </c:pt>
                <c:pt idx="31">
                  <c:v>0.25214465762823934</c:v>
                </c:pt>
                <c:pt idx="32">
                  <c:v>0.2489115950690817</c:v>
                </c:pt>
                <c:pt idx="33">
                  <c:v>0.24567853250992408</c:v>
                </c:pt>
                <c:pt idx="34">
                  <c:v>0.24244546995076638</c:v>
                </c:pt>
                <c:pt idx="35">
                  <c:v>0.23921240739160871</c:v>
                </c:pt>
                <c:pt idx="36">
                  <c:v>0.23597934483245114</c:v>
                </c:pt>
                <c:pt idx="37">
                  <c:v>0.2327462822732935</c:v>
                </c:pt>
                <c:pt idx="38">
                  <c:v>0.2295132197141358</c:v>
                </c:pt>
                <c:pt idx="39">
                  <c:v>0.22628015715497812</c:v>
                </c:pt>
                <c:pt idx="40">
                  <c:v>0.22304709459582056</c:v>
                </c:pt>
                <c:pt idx="41">
                  <c:v>0.21981403203666286</c:v>
                </c:pt>
                <c:pt idx="42">
                  <c:v>0.21658096947750521</c:v>
                </c:pt>
                <c:pt idx="43">
                  <c:v>0.2133479069183476</c:v>
                </c:pt>
                <c:pt idx="44">
                  <c:v>0.21011484435918992</c:v>
                </c:pt>
                <c:pt idx="45">
                  <c:v>0.20688178180003228</c:v>
                </c:pt>
                <c:pt idx="46">
                  <c:v>0.20364871924087463</c:v>
                </c:pt>
                <c:pt idx="47">
                  <c:v>0.20041565668171696</c:v>
                </c:pt>
                <c:pt idx="48">
                  <c:v>0.19718259412255934</c:v>
                </c:pt>
                <c:pt idx="49">
                  <c:v>0.19394953156340169</c:v>
                </c:pt>
                <c:pt idx="50">
                  <c:v>0.19071646900424405</c:v>
                </c:pt>
                <c:pt idx="51">
                  <c:v>0.1874834064450864</c:v>
                </c:pt>
                <c:pt idx="52">
                  <c:v>0.18425034388592876</c:v>
                </c:pt>
                <c:pt idx="53">
                  <c:v>0.18101728132677114</c:v>
                </c:pt>
                <c:pt idx="54">
                  <c:v>0.17778421876761347</c:v>
                </c:pt>
                <c:pt idx="55">
                  <c:v>0.17455115620845579</c:v>
                </c:pt>
                <c:pt idx="56">
                  <c:v>0.1713180936492982</c:v>
                </c:pt>
                <c:pt idx="57">
                  <c:v>0.16808503109014053</c:v>
                </c:pt>
                <c:pt idx="58">
                  <c:v>0.16485196853098288</c:v>
                </c:pt>
                <c:pt idx="59">
                  <c:v>0.16161890597182524</c:v>
                </c:pt>
                <c:pt idx="60">
                  <c:v>0.15838584341266759</c:v>
                </c:pt>
                <c:pt idx="61">
                  <c:v>0.15515278085350998</c:v>
                </c:pt>
                <c:pt idx="62">
                  <c:v>0.1519197182943523</c:v>
                </c:pt>
                <c:pt idx="63">
                  <c:v>0.14868665573519466</c:v>
                </c:pt>
                <c:pt idx="64">
                  <c:v>0.14545359317603704</c:v>
                </c:pt>
                <c:pt idx="65">
                  <c:v>0.14222053061687936</c:v>
                </c:pt>
                <c:pt idx="66">
                  <c:v>0.13898746805772172</c:v>
                </c:pt>
                <c:pt idx="67">
                  <c:v>0.1357544054985641</c:v>
                </c:pt>
                <c:pt idx="68">
                  <c:v>0.13252134293940646</c:v>
                </c:pt>
                <c:pt idx="69">
                  <c:v>0.12928828038024881</c:v>
                </c:pt>
                <c:pt idx="70">
                  <c:v>0.12605521782109116</c:v>
                </c:pt>
                <c:pt idx="71">
                  <c:v>0.1228221552619335</c:v>
                </c:pt>
                <c:pt idx="72">
                  <c:v>0.11958909270277586</c:v>
                </c:pt>
                <c:pt idx="73">
                  <c:v>0.11635603014361821</c:v>
                </c:pt>
                <c:pt idx="74">
                  <c:v>0.11312296758446057</c:v>
                </c:pt>
                <c:pt idx="75">
                  <c:v>0.10988990502530291</c:v>
                </c:pt>
                <c:pt idx="76">
                  <c:v>0.10665684246614526</c:v>
                </c:pt>
                <c:pt idx="77">
                  <c:v>0.10342377990698762</c:v>
                </c:pt>
                <c:pt idx="78">
                  <c:v>0.10019071734782997</c:v>
                </c:pt>
                <c:pt idx="79">
                  <c:v>9.6957654788672326E-2</c:v>
                </c:pt>
                <c:pt idx="80">
                  <c:v>9.372459222951468E-2</c:v>
                </c:pt>
                <c:pt idx="81">
                  <c:v>9.0491529670357049E-2</c:v>
                </c:pt>
                <c:pt idx="82">
                  <c:v>8.7258467111199389E-2</c:v>
                </c:pt>
                <c:pt idx="83">
                  <c:v>8.4025404552041744E-2</c:v>
                </c:pt>
                <c:pt idx="84">
                  <c:v>8.0792341992884098E-2</c:v>
                </c:pt>
                <c:pt idx="85">
                  <c:v>7.7559279433726452E-2</c:v>
                </c:pt>
                <c:pt idx="86">
                  <c:v>7.4326216874568807E-2</c:v>
                </c:pt>
                <c:pt idx="87">
                  <c:v>7.1093154315411133E-2</c:v>
                </c:pt>
                <c:pt idx="88">
                  <c:v>6.7860091756253502E-2</c:v>
                </c:pt>
                <c:pt idx="89">
                  <c:v>6.4627029197095842E-2</c:v>
                </c:pt>
                <c:pt idx="90">
                  <c:v>6.139396663793821E-2</c:v>
                </c:pt>
                <c:pt idx="91">
                  <c:v>5.8160904078780579E-2</c:v>
                </c:pt>
                <c:pt idx="92">
                  <c:v>5.4927841519622905E-2</c:v>
                </c:pt>
                <c:pt idx="93">
                  <c:v>5.1694778960465274E-2</c:v>
                </c:pt>
                <c:pt idx="94">
                  <c:v>4.8461716401307614E-2</c:v>
                </c:pt>
                <c:pt idx="95">
                  <c:v>4.5228653842149982E-2</c:v>
                </c:pt>
                <c:pt idx="96">
                  <c:v>4.1995591282992323E-2</c:v>
                </c:pt>
                <c:pt idx="97">
                  <c:v>3.8762528723834677E-2</c:v>
                </c:pt>
                <c:pt idx="98">
                  <c:v>3.5529466164677032E-2</c:v>
                </c:pt>
                <c:pt idx="99">
                  <c:v>3.2296403605519386E-2</c:v>
                </c:pt>
                <c:pt idx="100">
                  <c:v>2.9063341046361713E-2</c:v>
                </c:pt>
                <c:pt idx="101">
                  <c:v>2.5830278487204095E-2</c:v>
                </c:pt>
                <c:pt idx="102">
                  <c:v>2.2597215928046449E-2</c:v>
                </c:pt>
                <c:pt idx="103">
                  <c:v>1.9364153368888803E-2</c:v>
                </c:pt>
                <c:pt idx="104">
                  <c:v>1.6131090809731186E-2</c:v>
                </c:pt>
                <c:pt idx="105">
                  <c:v>1.289802825057354E-2</c:v>
                </c:pt>
                <c:pt idx="106">
                  <c:v>9.6649656914159221E-3</c:v>
                </c:pt>
                <c:pt idx="107">
                  <c:v>6.4319031322582765E-3</c:v>
                </c:pt>
                <c:pt idx="108">
                  <c:v>3.1988405731006309E-3</c:v>
                </c:pt>
                <c:pt idx="109">
                  <c:v>-3.4221986056987008E-5</c:v>
                </c:pt>
                <c:pt idx="110">
                  <c:v>-3.2672845452146049E-3</c:v>
                </c:pt>
                <c:pt idx="111">
                  <c:v>-6.5003471043722505E-3</c:v>
                </c:pt>
                <c:pt idx="112">
                  <c:v>-9.7334096635298961E-3</c:v>
                </c:pt>
                <c:pt idx="113">
                  <c:v>-1.2966472222687542E-2</c:v>
                </c:pt>
                <c:pt idx="114">
                  <c:v>-1.619953478184516E-2</c:v>
                </c:pt>
                <c:pt idx="115">
                  <c:v>-1.9432597341002777E-2</c:v>
                </c:pt>
                <c:pt idx="116">
                  <c:v>-2.2665659900160451E-2</c:v>
                </c:pt>
                <c:pt idx="117">
                  <c:v>-2.5898722459318013E-2</c:v>
                </c:pt>
                <c:pt idx="118">
                  <c:v>-2.9131785018475687E-2</c:v>
                </c:pt>
                <c:pt idx="119">
                  <c:v>-3.236484757763336E-2</c:v>
                </c:pt>
                <c:pt idx="120">
                  <c:v>-3.5597910136790922E-2</c:v>
                </c:pt>
                <c:pt idx="121">
                  <c:v>0.15838584341266745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742-9DE8-E07180CC1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855984"/>
        <c:axId val="348125040"/>
      </c:scatterChart>
      <c:valAx>
        <c:axId val="32885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125040"/>
        <c:crosses val="autoZero"/>
        <c:crossBetween val="midCat"/>
      </c:valAx>
      <c:valAx>
        <c:axId val="34812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55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489719</xdr:colOff>
      <xdr:row>16</xdr:row>
      <xdr:rowOff>28287</xdr:rowOff>
    </xdr:from>
    <xdr:to>
      <xdr:col>11</xdr:col>
      <xdr:colOff>97174</xdr:colOff>
      <xdr:row>29</xdr:row>
      <xdr:rowOff>144896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E0C2E97-DEE3-6959-6378-88DBC7784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118534</xdr:colOff>
      <xdr:row>25</xdr:row>
      <xdr:rowOff>97292</xdr:rowOff>
    </xdr:from>
    <xdr:to>
      <xdr:col>12</xdr:col>
      <xdr:colOff>50800</xdr:colOff>
      <xdr:row>38</xdr:row>
      <xdr:rowOff>198892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7F22D9-3C8F-5FC3-2DAB-6B0D551E91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461625</xdr:colOff>
      <xdr:row>8</xdr:row>
      <xdr:rowOff>182611</xdr:rowOff>
    </xdr:from>
    <xdr:ext cx="1154354" cy="36901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D708CFB-14D9-7C5C-9274-D728C93C3624}"/>
                </a:ext>
              </a:extLst>
            </xdr:cNvPr>
            <xdr:cNvSpPr txBox="1"/>
          </xdr:nvSpPr>
          <xdr:spPr>
            <a:xfrm>
              <a:off x="3829049" y="1798975"/>
              <a:ext cx="1154354" cy="369012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𝑋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sup>
                        </m:sSup>
                        <m:d>
                          <m:dPr>
                            <m:begChr m:val="{"/>
                            <m:endChr m:val="}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  <m:d>
                              <m:d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</m:d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𝑠𝑢𝑚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𝑜𝑓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𝑛𝑢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𝑟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D708CFB-14D9-7C5C-9274-D728C93C3624}"/>
                </a:ext>
              </a:extLst>
            </xdr:cNvPr>
            <xdr:cNvSpPr txBox="1"/>
          </xdr:nvSpPr>
          <xdr:spPr>
            <a:xfrm>
              <a:off x="3829049" y="1798975"/>
              <a:ext cx="1154354" cy="369012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𝑋=(𝑆^(−1) {𝐸(𝑟)−𝑐})/(𝑠𝑢𝑚 𝑜𝑓 𝑛𝑢𝑚^𝑟 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</xdr:col>
      <xdr:colOff>629227</xdr:colOff>
      <xdr:row>22</xdr:row>
      <xdr:rowOff>182227</xdr:rowOff>
    </xdr:from>
    <xdr:to>
      <xdr:col>10</xdr:col>
      <xdr:colOff>236681</xdr:colOff>
      <xdr:row>36</xdr:row>
      <xdr:rowOff>96791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146C21D-1C21-2D3D-2063-5907A56737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054C0-4492-A447-8E58-84829B1A918C}">
  <sheetPr codeName="Sheet1"/>
  <dimension ref="A1:K7"/>
  <sheetViews>
    <sheetView workbookViewId="0">
      <selection activeCell="G15" sqref="G15"/>
    </sheetView>
  </sheetViews>
  <sheetFormatPr baseColWidth="10" defaultRowHeight="16" x14ac:dyDescent="0.2"/>
  <sheetData>
    <row r="1" spans="1:11" x14ac:dyDescent="0.2">
      <c r="B1" s="18"/>
      <c r="C1" s="18" t="s">
        <v>67</v>
      </c>
      <c r="D1" s="18" t="s">
        <v>1</v>
      </c>
      <c r="E1" s="18" t="s">
        <v>2</v>
      </c>
      <c r="F1" s="18" t="s">
        <v>3</v>
      </c>
      <c r="G1" s="18" t="s">
        <v>4</v>
      </c>
      <c r="H1" s="21"/>
      <c r="I1" s="18"/>
      <c r="J1" s="18" t="s">
        <v>5</v>
      </c>
      <c r="K1" s="18" t="s">
        <v>6</v>
      </c>
    </row>
    <row r="2" spans="1:11" x14ac:dyDescent="0.2">
      <c r="B2" s="18" t="s">
        <v>7</v>
      </c>
      <c r="C2" s="19">
        <v>0.6</v>
      </c>
      <c r="D2" s="20">
        <v>2.4900000000000002E-2</v>
      </c>
      <c r="E2" s="20">
        <v>8.1455102459316118E-3</v>
      </c>
      <c r="F2" s="20">
        <v>9.025248055278931E-2</v>
      </c>
      <c r="G2" s="20">
        <v>3.8212595101999769E-3</v>
      </c>
      <c r="H2" s="22"/>
      <c r="I2" s="18" t="s">
        <v>5</v>
      </c>
      <c r="J2" s="20">
        <v>8.1455102459316066E-3</v>
      </c>
      <c r="K2" s="20">
        <v>3.8212595101999769E-3</v>
      </c>
    </row>
    <row r="3" spans="1:11" x14ac:dyDescent="0.2">
      <c r="B3" s="18" t="s">
        <v>8</v>
      </c>
      <c r="C3" s="19">
        <v>0.4</v>
      </c>
      <c r="D3" s="20">
        <v>1.55E-2</v>
      </c>
      <c r="E3" s="20">
        <v>6.4822643953166637E-3</v>
      </c>
      <c r="F3" s="20">
        <v>8.0512510799978551E-2</v>
      </c>
      <c r="G3" s="20">
        <v>3.8212595101999769E-3</v>
      </c>
      <c r="H3" s="22"/>
      <c r="I3" s="18" t="s">
        <v>6</v>
      </c>
      <c r="J3" s="20">
        <v>3.8212595101999769E-3</v>
      </c>
      <c r="K3" s="20">
        <v>6.4822643953166611E-3</v>
      </c>
    </row>
    <row r="5" spans="1:11" x14ac:dyDescent="0.2">
      <c r="A5" s="17" t="s">
        <v>9</v>
      </c>
      <c r="B5" s="2">
        <v>2.1139999999999999E-2</v>
      </c>
    </row>
    <row r="6" spans="1:11" x14ac:dyDescent="0.2">
      <c r="A6" s="17" t="s">
        <v>10</v>
      </c>
      <c r="B6" s="2">
        <v>5.8037505566820354E-3</v>
      </c>
      <c r="C6" t="s">
        <v>11</v>
      </c>
    </row>
    <row r="7" spans="1:11" x14ac:dyDescent="0.2">
      <c r="A7" s="17" t="s">
        <v>10</v>
      </c>
      <c r="B7" s="2">
        <v>5.8037505566820328E-3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9224B-73B6-D44F-A4F2-04B867A353AB}">
  <sheetPr codeName="Sheet2"/>
  <dimension ref="A1:M8"/>
  <sheetViews>
    <sheetView workbookViewId="0">
      <selection activeCell="E10" sqref="E10"/>
    </sheetView>
  </sheetViews>
  <sheetFormatPr baseColWidth="10" defaultRowHeight="16" x14ac:dyDescent="0.2"/>
  <sheetData>
    <row r="1" spans="1:13" x14ac:dyDescent="0.2">
      <c r="B1" s="18"/>
      <c r="C1" s="18" t="s">
        <v>0</v>
      </c>
      <c r="D1" s="18" t="s">
        <v>1</v>
      </c>
      <c r="E1" s="18" t="s">
        <v>2</v>
      </c>
      <c r="F1" s="18" t="s">
        <v>3</v>
      </c>
      <c r="G1" s="21"/>
      <c r="H1" s="18"/>
      <c r="I1" s="18" t="s">
        <v>7</v>
      </c>
      <c r="J1" s="18" t="s">
        <v>8</v>
      </c>
      <c r="K1" s="18" t="s">
        <v>12</v>
      </c>
      <c r="M1" t="s">
        <v>13</v>
      </c>
    </row>
    <row r="2" spans="1:13" x14ac:dyDescent="0.2">
      <c r="B2" s="18" t="s">
        <v>7</v>
      </c>
      <c r="C2" s="19">
        <v>0.45</v>
      </c>
      <c r="D2" s="20">
        <v>2.4900000000000002E-2</v>
      </c>
      <c r="E2" s="20">
        <v>8.1455102459316118E-3</v>
      </c>
      <c r="F2" s="20">
        <v>9.025248055278931E-2</v>
      </c>
      <c r="G2" s="22"/>
      <c r="H2" s="18" t="s">
        <v>7</v>
      </c>
      <c r="I2" s="20">
        <v>8.1455102459316066E-3</v>
      </c>
      <c r="J2" s="20">
        <v>3.8212595101999769E-3</v>
      </c>
      <c r="K2" s="20">
        <v>3.9871896988038997E-3</v>
      </c>
      <c r="M2" s="3">
        <v>0.52587680419714355</v>
      </c>
    </row>
    <row r="3" spans="1:13" x14ac:dyDescent="0.2">
      <c r="B3" s="18" t="s">
        <v>8</v>
      </c>
      <c r="C3" s="19">
        <v>0.35</v>
      </c>
      <c r="D3" s="20">
        <v>1.55E-2</v>
      </c>
      <c r="E3" s="20">
        <v>6.4822643953166637E-3</v>
      </c>
      <c r="F3" s="20">
        <v>8.0512510799978551E-2</v>
      </c>
      <c r="G3" s="22"/>
      <c r="H3" s="18" t="s">
        <v>8</v>
      </c>
      <c r="I3" s="20">
        <v>3.8212595101999769E-3</v>
      </c>
      <c r="J3" s="20">
        <v>6.4822643953166611E-3</v>
      </c>
      <c r="K3" s="20">
        <v>4.3984374999767309E-3</v>
      </c>
      <c r="M3" t="s">
        <v>14</v>
      </c>
    </row>
    <row r="4" spans="1:13" x14ac:dyDescent="0.2">
      <c r="B4" s="18" t="s">
        <v>12</v>
      </c>
      <c r="C4" s="19">
        <v>0.25</v>
      </c>
      <c r="D4" s="20">
        <v>2.4700000000000003E-2</v>
      </c>
      <c r="E4" s="20">
        <v>1.0524630047611332E-2</v>
      </c>
      <c r="F4" s="20">
        <v>0.10258961958995332</v>
      </c>
      <c r="G4" s="22"/>
      <c r="H4" s="18" t="s">
        <v>12</v>
      </c>
      <c r="I4" s="20">
        <v>3.9871896988038997E-3</v>
      </c>
      <c r="J4" s="20">
        <v>4.3984374999767309E-3</v>
      </c>
      <c r="K4" s="20">
        <v>1.0524630047611337E-2</v>
      </c>
    </row>
    <row r="6" spans="1:13" x14ac:dyDescent="0.2">
      <c r="A6" s="17" t="s">
        <v>15</v>
      </c>
      <c r="B6" s="2">
        <v>2.2804999999999999E-2</v>
      </c>
    </row>
    <row r="7" spans="1:13" x14ac:dyDescent="0.2">
      <c r="A7" s="17" t="s">
        <v>2</v>
      </c>
      <c r="B7" s="4">
        <v>5.9718735816429482E-3</v>
      </c>
    </row>
    <row r="8" spans="1:13" x14ac:dyDescent="0.2">
      <c r="A8" s="17" t="s">
        <v>3</v>
      </c>
      <c r="B8" s="4">
        <v>7.7277898403378883E-2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BA2C-581B-1249-9EAD-240D885AA465}">
  <sheetPr codeName="Sheet3"/>
  <dimension ref="B1:J16"/>
  <sheetViews>
    <sheetView zoomScale="137" workbookViewId="0">
      <selection activeCell="D14" sqref="D14"/>
    </sheetView>
  </sheetViews>
  <sheetFormatPr baseColWidth="10" defaultRowHeight="16" x14ac:dyDescent="0.2"/>
  <sheetData>
    <row r="1" spans="2:10" x14ac:dyDescent="0.2">
      <c r="B1" s="18"/>
      <c r="C1" s="18" t="s">
        <v>7</v>
      </c>
      <c r="D1" s="18" t="s">
        <v>8</v>
      </c>
      <c r="E1" s="18" t="s">
        <v>12</v>
      </c>
      <c r="F1" s="18" t="s">
        <v>16</v>
      </c>
      <c r="G1" s="18" t="s">
        <v>17</v>
      </c>
      <c r="H1" s="18" t="s">
        <v>18</v>
      </c>
      <c r="I1" s="18" t="s">
        <v>19</v>
      </c>
    </row>
    <row r="2" spans="2:10" x14ac:dyDescent="0.2">
      <c r="B2" s="18" t="s">
        <v>20</v>
      </c>
      <c r="C2" s="20">
        <v>2.4980341332756516E-2</v>
      </c>
      <c r="D2" s="20">
        <v>1.5071950890041612E-2</v>
      </c>
      <c r="E2" s="20">
        <v>2.4834606101148307E-2</v>
      </c>
      <c r="F2" s="20">
        <v>7.1617823035933937E-3</v>
      </c>
      <c r="G2" s="20">
        <v>8.5932667071724547E-3</v>
      </c>
      <c r="H2" s="20">
        <v>4.4367466487539439E-3</v>
      </c>
      <c r="I2" s="20">
        <v>4.3702898708350467E-3</v>
      </c>
    </row>
    <row r="3" spans="2:10" x14ac:dyDescent="0.2">
      <c r="B3" s="18" t="s">
        <v>21</v>
      </c>
      <c r="C3" s="19">
        <v>0.3</v>
      </c>
      <c r="D3" s="19">
        <v>0.2</v>
      </c>
      <c r="E3" s="19">
        <v>0.15</v>
      </c>
      <c r="F3" s="19">
        <v>0.15</v>
      </c>
      <c r="G3" s="19">
        <v>0.1</v>
      </c>
      <c r="H3" s="19">
        <v>0.05</v>
      </c>
      <c r="I3" s="19">
        <v>0.05</v>
      </c>
    </row>
    <row r="5" spans="2:10" x14ac:dyDescent="0.2">
      <c r="C5" s="18"/>
      <c r="D5" s="18" t="s">
        <v>7</v>
      </c>
      <c r="E5" s="18" t="s">
        <v>8</v>
      </c>
      <c r="F5" s="18" t="s">
        <v>12</v>
      </c>
      <c r="G5" s="18" t="s">
        <v>16</v>
      </c>
      <c r="H5" s="18" t="s">
        <v>17</v>
      </c>
      <c r="I5" s="18" t="s">
        <v>18</v>
      </c>
      <c r="J5" s="18" t="s">
        <v>19</v>
      </c>
    </row>
    <row r="6" spans="2:10" x14ac:dyDescent="0.2">
      <c r="C6" s="18" t="s">
        <v>7</v>
      </c>
      <c r="D6" s="20">
        <v>8.1455102459316066E-3</v>
      </c>
      <c r="E6" s="20">
        <v>3.8212595101999769E-3</v>
      </c>
      <c r="F6" s="20">
        <v>3.9871896988038997E-3</v>
      </c>
      <c r="G6" s="20">
        <v>2.5465421300301071E-3</v>
      </c>
      <c r="H6" s="20">
        <v>2.4985743516106338E-3</v>
      </c>
      <c r="I6" s="20">
        <v>2.2956057408110801E-3</v>
      </c>
      <c r="J6" s="20">
        <v>2.8734514590851201E-3</v>
      </c>
    </row>
    <row r="7" spans="2:10" x14ac:dyDescent="0.2">
      <c r="C7" s="18" t="s">
        <v>8</v>
      </c>
      <c r="D7" s="20">
        <v>3.8212595101999769E-3</v>
      </c>
      <c r="E7" s="20">
        <v>6.4822643953166611E-3</v>
      </c>
      <c r="F7" s="20">
        <v>4.3984374999767309E-3</v>
      </c>
      <c r="G7" s="20">
        <v>2.3409745818651416E-3</v>
      </c>
      <c r="H7" s="20">
        <v>2.2484831447403971E-3</v>
      </c>
      <c r="I7" s="20">
        <v>2.326695792424561E-3</v>
      </c>
      <c r="J7" s="20">
        <v>2.6397459033103907E-3</v>
      </c>
    </row>
    <row r="8" spans="2:10" x14ac:dyDescent="0.2">
      <c r="C8" s="18" t="s">
        <v>12</v>
      </c>
      <c r="D8" s="20">
        <v>3.9871896988038997E-3</v>
      </c>
      <c r="E8" s="20">
        <v>4.3984374999767309E-3</v>
      </c>
      <c r="F8" s="20">
        <v>1.0524630047611337E-2</v>
      </c>
      <c r="G8" s="20">
        <v>2.3758886891726322E-3</v>
      </c>
      <c r="H8" s="20">
        <v>2.3428770242065571E-3</v>
      </c>
      <c r="I8" s="20">
        <v>2.236389298363672E-3</v>
      </c>
      <c r="J8" s="20">
        <v>2.632480971086783E-3</v>
      </c>
    </row>
    <row r="9" spans="2:10" x14ac:dyDescent="0.2">
      <c r="C9" s="18" t="s">
        <v>16</v>
      </c>
      <c r="D9" s="20">
        <v>2.5465421300301071E-3</v>
      </c>
      <c r="E9" s="20">
        <v>2.3409745818651416E-3</v>
      </c>
      <c r="F9" s="20">
        <v>2.3758886891726322E-3</v>
      </c>
      <c r="G9" s="20">
        <v>2.2364823035488268E-3</v>
      </c>
      <c r="H9" s="20">
        <v>2.0366727343765628E-3</v>
      </c>
      <c r="I9" s="20">
        <v>2.3228153332189596E-3</v>
      </c>
      <c r="J9" s="20">
        <v>2.3711400326830606E-3</v>
      </c>
    </row>
    <row r="10" spans="2:10" x14ac:dyDescent="0.2">
      <c r="C10" s="18" t="s">
        <v>17</v>
      </c>
      <c r="D10" s="20">
        <v>2.4985743516106338E-3</v>
      </c>
      <c r="E10" s="20">
        <v>2.2484831447403971E-3</v>
      </c>
      <c r="F10" s="20">
        <v>2.3428770242065571E-3</v>
      </c>
      <c r="G10" s="20">
        <v>2.0366727343765628E-3</v>
      </c>
      <c r="H10" s="20">
        <v>2.0359962527978785E-3</v>
      </c>
      <c r="I10" s="20">
        <v>2.0684556333910682E-3</v>
      </c>
      <c r="J10" s="20">
        <v>2.1375124900367814E-3</v>
      </c>
    </row>
    <row r="11" spans="2:10" x14ac:dyDescent="0.2">
      <c r="C11" s="18" t="s">
        <v>18</v>
      </c>
      <c r="D11" s="20">
        <v>2.2956057408110801E-3</v>
      </c>
      <c r="E11" s="20">
        <v>2.326695792424561E-3</v>
      </c>
      <c r="F11" s="20">
        <v>2.236389298363672E-3</v>
      </c>
      <c r="G11" s="20">
        <v>2.3228153332189596E-3</v>
      </c>
      <c r="H11" s="20">
        <v>2.0684556333910682E-3</v>
      </c>
      <c r="I11" s="20">
        <v>2.7003862417781669E-3</v>
      </c>
      <c r="J11" s="20">
        <v>2.7939385518720829E-3</v>
      </c>
    </row>
    <row r="12" spans="2:10" x14ac:dyDescent="0.2">
      <c r="C12" s="18" t="s">
        <v>19</v>
      </c>
      <c r="D12" s="20">
        <v>2.8734514590851201E-3</v>
      </c>
      <c r="E12" s="20">
        <v>2.6397459033103907E-3</v>
      </c>
      <c r="F12" s="20">
        <v>2.632480971086783E-3</v>
      </c>
      <c r="G12" s="20">
        <v>2.3711400326830606E-3</v>
      </c>
      <c r="H12" s="20">
        <v>2.1375124900367814E-3</v>
      </c>
      <c r="I12" s="20">
        <v>2.7939385518720829E-3</v>
      </c>
      <c r="J12" s="20">
        <v>3.8819184576685483E-3</v>
      </c>
    </row>
    <row r="14" spans="2:10" x14ac:dyDescent="0.2">
      <c r="B14" s="17" t="s">
        <v>22</v>
      </c>
      <c r="C14" s="4">
        <v>1.6607629335243228E-2</v>
      </c>
      <c r="D14" t="s">
        <v>23</v>
      </c>
    </row>
    <row r="15" spans="2:10" x14ac:dyDescent="0.2">
      <c r="B15" s="17" t="s">
        <v>10</v>
      </c>
      <c r="C15" s="4">
        <v>3.6993065599458079E-3</v>
      </c>
      <c r="D15" t="s">
        <v>24</v>
      </c>
    </row>
    <row r="16" spans="2:10" x14ac:dyDescent="0.2">
      <c r="B16" s="17" t="s">
        <v>25</v>
      </c>
      <c r="C16" s="4">
        <v>6.0821924993753759E-2</v>
      </c>
      <c r="D16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46273-9173-F34E-9147-F0C204F9B45E}">
  <sheetPr codeName="Sheet4"/>
  <dimension ref="A1:J148"/>
  <sheetViews>
    <sheetView topLeftCell="A2" zoomScale="132" workbookViewId="0">
      <selection activeCell="D16" sqref="D16"/>
    </sheetView>
  </sheetViews>
  <sheetFormatPr baseColWidth="10" defaultRowHeight="16" x14ac:dyDescent="0.2"/>
  <cols>
    <col min="1" max="1" width="11.1640625" bestFit="1" customWidth="1"/>
  </cols>
  <sheetData>
    <row r="1" spans="1:10" x14ac:dyDescent="0.2">
      <c r="A1" s="18" t="s">
        <v>27</v>
      </c>
      <c r="B1" s="18" t="s">
        <v>28</v>
      </c>
      <c r="C1" s="18" t="s">
        <v>29</v>
      </c>
      <c r="D1" s="18" t="s">
        <v>30</v>
      </c>
      <c r="E1" s="18" t="s">
        <v>31</v>
      </c>
      <c r="G1" s="18" t="s">
        <v>32</v>
      </c>
    </row>
    <row r="2" spans="1:10" x14ac:dyDescent="0.2">
      <c r="A2" s="18" t="s">
        <v>28</v>
      </c>
      <c r="B2" s="23">
        <v>0.1</v>
      </c>
      <c r="C2" s="23">
        <v>0.01</v>
      </c>
      <c r="D2" s="23">
        <v>0.03</v>
      </c>
      <c r="E2" s="23">
        <v>0.05</v>
      </c>
      <c r="G2" s="19">
        <v>0.06</v>
      </c>
    </row>
    <row r="3" spans="1:10" x14ac:dyDescent="0.2">
      <c r="A3" s="18" t="s">
        <v>29</v>
      </c>
      <c r="B3" s="23">
        <v>0.01</v>
      </c>
      <c r="C3" s="23">
        <v>0.3</v>
      </c>
      <c r="D3" s="23">
        <v>0.06</v>
      </c>
      <c r="E3" s="23">
        <v>-0.04</v>
      </c>
      <c r="G3" s="19">
        <v>0.08</v>
      </c>
    </row>
    <row r="4" spans="1:10" x14ac:dyDescent="0.2">
      <c r="A4" s="18" t="s">
        <v>30</v>
      </c>
      <c r="B4" s="23">
        <v>0.03</v>
      </c>
      <c r="C4" s="23">
        <v>0.06</v>
      </c>
      <c r="D4" s="23">
        <v>0.4</v>
      </c>
      <c r="E4" s="23">
        <v>0.02</v>
      </c>
      <c r="G4" s="19">
        <v>0.1</v>
      </c>
    </row>
    <row r="5" spans="1:10" x14ac:dyDescent="0.2">
      <c r="A5" s="18" t="s">
        <v>31</v>
      </c>
      <c r="B5" s="23">
        <v>0.05</v>
      </c>
      <c r="C5" s="23">
        <v>-0.04</v>
      </c>
      <c r="D5" s="23">
        <v>0.02</v>
      </c>
      <c r="E5" s="23">
        <v>0.5</v>
      </c>
      <c r="G5" s="19">
        <v>0.15</v>
      </c>
    </row>
    <row r="7" spans="1:10" x14ac:dyDescent="0.2">
      <c r="A7" s="18" t="s">
        <v>33</v>
      </c>
      <c r="B7" s="18" t="s">
        <v>28</v>
      </c>
      <c r="C7" s="18" t="s">
        <v>29</v>
      </c>
      <c r="D7" s="18" t="s">
        <v>30</v>
      </c>
      <c r="E7" s="18" t="s">
        <v>31</v>
      </c>
    </row>
    <row r="8" spans="1:10" x14ac:dyDescent="0.2">
      <c r="A8" s="18" t="s">
        <v>34</v>
      </c>
      <c r="B8" s="24">
        <v>0.2</v>
      </c>
      <c r="C8" s="24">
        <v>0.3</v>
      </c>
      <c r="D8" s="24">
        <v>0.4</v>
      </c>
      <c r="E8" s="24">
        <v>0.1</v>
      </c>
    </row>
    <row r="9" spans="1:10" x14ac:dyDescent="0.2">
      <c r="A9" s="18" t="s">
        <v>35</v>
      </c>
      <c r="B9" s="24">
        <v>0.2</v>
      </c>
      <c r="C9" s="24">
        <v>0.1</v>
      </c>
      <c r="D9" s="24">
        <v>0.1</v>
      </c>
      <c r="E9" s="24">
        <v>0.6</v>
      </c>
    </row>
    <row r="10" spans="1:10" x14ac:dyDescent="0.2">
      <c r="A10" s="6"/>
      <c r="B10" s="25" t="s">
        <v>36</v>
      </c>
      <c r="C10" s="25" t="s">
        <v>37</v>
      </c>
      <c r="D10" s="6"/>
      <c r="E10" s="6"/>
      <c r="F10" s="6"/>
      <c r="G10" s="6"/>
      <c r="H10" s="6"/>
      <c r="I10" s="6"/>
      <c r="J10" s="6"/>
    </row>
    <row r="11" spans="1:10" x14ac:dyDescent="0.2">
      <c r="A11" s="25" t="s">
        <v>15</v>
      </c>
      <c r="B11" s="7" cm="1">
        <f t="array" ref="B11">MMULT($B$8:$E$8,$G$2:$G$5)</f>
        <v>9.1000000000000011E-2</v>
      </c>
      <c r="C11" s="7" cm="1">
        <f t="array" ref="C11">MMULT($B$9:$E$9,$G$2:$G$5)</f>
        <v>0.12</v>
      </c>
      <c r="D11" s="6"/>
      <c r="E11" s="6"/>
      <c r="F11" s="6" t="s">
        <v>38</v>
      </c>
      <c r="G11" s="6" t="s">
        <v>39</v>
      </c>
      <c r="H11" s="6"/>
      <c r="I11" s="6"/>
      <c r="J11" s="6"/>
    </row>
    <row r="12" spans="1:10" x14ac:dyDescent="0.2">
      <c r="A12" s="25" t="s">
        <v>40</v>
      </c>
      <c r="B12" s="7">
        <f t="array" ref="B12">MMULT(MMULT($B$8:$E$8,$B$2:$E$5),TRANSPOSE($B$8:$E$8))</f>
        <v>0.12160000000000001</v>
      </c>
      <c r="C12" s="7">
        <f t="array" ref="C12">MMULT(MMULT($B$9:$E$9,$B$2:$E$5),TRANSPOSE($B$9:$E$9))</f>
        <v>0.2034</v>
      </c>
      <c r="D12" s="6"/>
      <c r="E12" s="6"/>
      <c r="F12" s="6"/>
      <c r="G12" s="6"/>
      <c r="H12" s="6"/>
      <c r="I12" s="6"/>
      <c r="J12" s="6"/>
    </row>
    <row r="13" spans="1:10" x14ac:dyDescent="0.2">
      <c r="A13" s="25" t="s">
        <v>41</v>
      </c>
      <c r="B13" s="7" cm="1">
        <f t="array" ref="B13">MMULT(MMULT($B$8:$E$8,$B$2:$E$5),TRANSPOSE($B$9:$E$9))</f>
        <v>7.1400000000000005E-2</v>
      </c>
      <c r="C13" s="7">
        <f t="array" ref="C13">MMULT(MMULT($B$9:$E$9,$B$2:$E$5),TRANSPOSE($B$8:$E$8))</f>
        <v>7.1400000000000005E-2</v>
      </c>
      <c r="D13" s="6"/>
      <c r="E13" s="6"/>
      <c r="F13" s="6" t="s">
        <v>42</v>
      </c>
      <c r="G13" s="6"/>
      <c r="H13" s="6"/>
      <c r="I13" s="6"/>
      <c r="J13" s="6"/>
    </row>
    <row r="14" spans="1:10" x14ac:dyDescent="0.2">
      <c r="A14" s="6"/>
      <c r="B14" s="6"/>
      <c r="C14" s="6"/>
      <c r="D14" s="6"/>
      <c r="E14" s="6" t="s">
        <v>11</v>
      </c>
      <c r="F14" s="6" t="s">
        <v>43</v>
      </c>
      <c r="G14" s="6"/>
      <c r="H14" s="6"/>
      <c r="I14" s="6"/>
      <c r="J14" s="6"/>
    </row>
    <row r="15" spans="1:10" x14ac:dyDescent="0.2">
      <c r="A15" s="6"/>
      <c r="B15" s="6"/>
      <c r="C15" s="6"/>
      <c r="D15" s="6"/>
      <c r="E15" s="6"/>
      <c r="F15" s="6"/>
      <c r="G15" s="6"/>
      <c r="H15" s="6"/>
      <c r="I15" s="6"/>
      <c r="J15" s="6"/>
    </row>
    <row r="16" spans="1:10" x14ac:dyDescent="0.2">
      <c r="A16" s="6" t="s">
        <v>44</v>
      </c>
      <c r="B16" s="9">
        <v>0.3</v>
      </c>
      <c r="C16" s="6"/>
      <c r="D16" s="6"/>
      <c r="E16" s="6"/>
      <c r="F16" s="6"/>
      <c r="G16" s="6"/>
      <c r="H16" s="6"/>
      <c r="I16" s="6"/>
      <c r="J16" s="6"/>
    </row>
    <row r="17" spans="1:10" x14ac:dyDescent="0.2">
      <c r="A17" s="6" t="s">
        <v>45</v>
      </c>
      <c r="B17" s="9">
        <f>1-B16</f>
        <v>0.7</v>
      </c>
      <c r="C17" s="6"/>
      <c r="D17" s="6"/>
      <c r="E17" s="6"/>
      <c r="F17" s="6"/>
      <c r="G17" s="6"/>
      <c r="H17" s="6"/>
      <c r="I17" s="6"/>
      <c r="J17" s="6"/>
    </row>
    <row r="18" spans="1:10" x14ac:dyDescent="0.2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 x14ac:dyDescent="0.2">
      <c r="A19" s="6" t="s">
        <v>46</v>
      </c>
      <c r="B19" s="10">
        <f>B11*B16+C11*(1-B16)</f>
        <v>0.1113</v>
      </c>
      <c r="C19" s="6"/>
      <c r="D19" s="6"/>
      <c r="E19" s="6"/>
      <c r="F19" s="6"/>
      <c r="G19" s="6"/>
      <c r="H19" s="6"/>
      <c r="I19" s="6"/>
      <c r="J19" s="6"/>
    </row>
    <row r="20" spans="1:10" x14ac:dyDescent="0.2">
      <c r="A20" s="6" t="s">
        <v>25</v>
      </c>
      <c r="B20" s="7">
        <f>SQRT(B16^2*B12+(1-B16)^2*C12+2*B16*(1-B16)*B13)</f>
        <v>0.37496399827183408</v>
      </c>
      <c r="C20" s="6"/>
      <c r="D20" s="6"/>
      <c r="E20" s="6"/>
      <c r="F20" s="6"/>
      <c r="G20" s="6"/>
      <c r="H20" s="6"/>
      <c r="I20" s="6"/>
      <c r="J20" s="6"/>
    </row>
    <row r="21" spans="1:10" x14ac:dyDescent="0.2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spans="1:10" x14ac:dyDescent="0.2">
      <c r="A22" s="6"/>
      <c r="B22" s="6"/>
      <c r="C22" s="10">
        <f>B20</f>
        <v>0.37496399827183408</v>
      </c>
      <c r="D22" s="10">
        <f>B19</f>
        <v>0.1113</v>
      </c>
      <c r="E22" s="6"/>
      <c r="F22" s="6"/>
      <c r="G22" s="6"/>
      <c r="H22" s="6"/>
      <c r="I22" s="6"/>
      <c r="J22" s="6"/>
    </row>
    <row r="23" spans="1:10" x14ac:dyDescent="0.2">
      <c r="A23" s="6"/>
      <c r="B23" s="9">
        <v>-2</v>
      </c>
      <c r="C23" s="8">
        <f t="dataTable" ref="C23:D63" dt2D="0" dtr="0" r1="B16"/>
        <v>1.2083873551142448</v>
      </c>
      <c r="D23" s="8">
        <v>0.17799999999999996</v>
      </c>
      <c r="E23" s="6"/>
      <c r="F23" s="6"/>
      <c r="G23" s="6"/>
      <c r="H23" s="6"/>
      <c r="I23" s="6"/>
      <c r="J23" s="6"/>
    </row>
    <row r="24" spans="1:10" x14ac:dyDescent="0.2">
      <c r="A24" s="6"/>
      <c r="B24" s="11">
        <f>B23+10%</f>
        <v>-1.9</v>
      </c>
      <c r="C24" s="8">
        <v>1.1673654098010613</v>
      </c>
      <c r="D24" s="8">
        <v>0.17509999999999995</v>
      </c>
      <c r="E24" s="6"/>
      <c r="F24" s="6"/>
      <c r="G24" s="6"/>
      <c r="H24" s="6"/>
      <c r="I24" s="6"/>
      <c r="J24" s="6"/>
    </row>
    <row r="25" spans="1:10" x14ac:dyDescent="0.2">
      <c r="A25" s="6"/>
      <c r="B25" s="11">
        <f t="shared" ref="B25:B63" si="0">B24+10%</f>
        <v>-1.7999999999999998</v>
      </c>
      <c r="C25" s="8">
        <v>1.126467043459328</v>
      </c>
      <c r="D25" s="8">
        <v>0.17219999999999996</v>
      </c>
      <c r="E25" s="6"/>
      <c r="F25" s="6"/>
      <c r="G25" s="6"/>
      <c r="H25" s="6"/>
      <c r="I25" s="6"/>
      <c r="J25" s="6"/>
    </row>
    <row r="26" spans="1:10" x14ac:dyDescent="0.2">
      <c r="B26" s="11">
        <f t="shared" si="0"/>
        <v>-1.6999999999999997</v>
      </c>
      <c r="C26" s="5">
        <v>1.0857062217745646</v>
      </c>
      <c r="D26" s="5">
        <v>0.16929999999999995</v>
      </c>
    </row>
    <row r="27" spans="1:10" x14ac:dyDescent="0.2">
      <c r="B27" s="11">
        <f t="shared" si="0"/>
        <v>-1.5999999999999996</v>
      </c>
      <c r="C27" s="5">
        <v>1.0450990383690915</v>
      </c>
      <c r="D27" s="5">
        <v>0.16639999999999996</v>
      </c>
    </row>
    <row r="28" spans="1:10" x14ac:dyDescent="0.2">
      <c r="B28" s="11">
        <f t="shared" si="0"/>
        <v>-1.4999999999999996</v>
      </c>
      <c r="C28" s="5">
        <v>1.0046641229784208</v>
      </c>
      <c r="D28" s="5">
        <v>0.16349999999999995</v>
      </c>
    </row>
    <row r="29" spans="1:10" x14ac:dyDescent="0.2">
      <c r="B29" s="11">
        <f t="shared" si="0"/>
        <v>-1.3999999999999995</v>
      </c>
      <c r="C29" s="5">
        <v>0.96442314364598247</v>
      </c>
      <c r="D29" s="5">
        <v>0.16059999999999997</v>
      </c>
    </row>
    <row r="30" spans="1:10" x14ac:dyDescent="0.2">
      <c r="B30" s="11">
        <f t="shared" si="0"/>
        <v>-1.2999999999999994</v>
      </c>
      <c r="C30" s="5">
        <v>0.92440142795216385</v>
      </c>
      <c r="D30" s="5">
        <v>0.15769999999999995</v>
      </c>
    </row>
    <row r="31" spans="1:10" x14ac:dyDescent="0.2">
      <c r="B31" s="11">
        <f t="shared" si="0"/>
        <v>-1.1999999999999993</v>
      </c>
      <c r="C31" s="5">
        <v>0.88462873568520239</v>
      </c>
      <c r="D31" s="5">
        <v>0.15479999999999994</v>
      </c>
    </row>
    <row r="32" spans="1:10" x14ac:dyDescent="0.2">
      <c r="B32" s="11">
        <f t="shared" si="0"/>
        <v>-1.0999999999999992</v>
      </c>
      <c r="C32" s="5">
        <v>0.84514022505144049</v>
      </c>
      <c r="D32" s="5">
        <v>0.15189999999999995</v>
      </c>
    </row>
    <row r="33" spans="2:9" x14ac:dyDescent="0.2">
      <c r="B33" s="11">
        <f t="shared" si="0"/>
        <v>-0.99999999999999922</v>
      </c>
      <c r="C33" s="5">
        <v>0.8059776671843949</v>
      </c>
      <c r="D33" s="5">
        <v>0.14899999999999994</v>
      </c>
      <c r="H33" t="s">
        <v>36</v>
      </c>
      <c r="I33" t="s">
        <v>37</v>
      </c>
    </row>
    <row r="34" spans="2:9" x14ac:dyDescent="0.2">
      <c r="B34" s="11">
        <f t="shared" si="0"/>
        <v>-0.89999999999999925</v>
      </c>
      <c r="C34" s="5">
        <v>0.76719098013467257</v>
      </c>
      <c r="D34" s="5">
        <v>0.14609999999999995</v>
      </c>
      <c r="G34" t="s">
        <v>36</v>
      </c>
      <c r="H34" s="2">
        <f>B12</f>
        <v>0.12160000000000001</v>
      </c>
      <c r="I34" s="2">
        <f>B13</f>
        <v>7.1400000000000005E-2</v>
      </c>
    </row>
    <row r="35" spans="2:9" x14ac:dyDescent="0.2">
      <c r="B35" s="11">
        <f t="shared" si="0"/>
        <v>-0.79999999999999927</v>
      </c>
      <c r="C35" s="5">
        <v>0.72884017452387984</v>
      </c>
      <c r="D35" s="5">
        <v>0.14319999999999997</v>
      </c>
      <c r="G35" t="s">
        <v>37</v>
      </c>
      <c r="H35" s="2">
        <f>C13</f>
        <v>7.1400000000000005E-2</v>
      </c>
      <c r="I35" s="2">
        <f>C12</f>
        <v>0.2034</v>
      </c>
    </row>
    <row r="36" spans="2:9" x14ac:dyDescent="0.2">
      <c r="B36" s="11">
        <f t="shared" si="0"/>
        <v>-0.69999999999999929</v>
      </c>
      <c r="C36" s="5">
        <v>0.69099782922958564</v>
      </c>
      <c r="D36" s="5">
        <v>0.14029999999999998</v>
      </c>
    </row>
    <row r="37" spans="2:9" x14ac:dyDescent="0.2">
      <c r="B37" s="11">
        <f t="shared" si="0"/>
        <v>-0.59999999999999931</v>
      </c>
      <c r="C37" s="5">
        <v>0.65375224665005904</v>
      </c>
      <c r="D37" s="5">
        <v>0.13739999999999994</v>
      </c>
      <c r="H37" s="13" cm="1">
        <f t="array" ref="H37">MMULT(MMULT(TRANSPOSE(B16:B17),H34:I35),B16:B17)</f>
        <v>0.14059799999999997</v>
      </c>
    </row>
    <row r="38" spans="2:9" x14ac:dyDescent="0.2">
      <c r="B38" s="11">
        <f t="shared" si="0"/>
        <v>-0.49999999999999933</v>
      </c>
      <c r="C38" s="5">
        <v>0.61721147105347918</v>
      </c>
      <c r="D38" s="5">
        <v>0.13449999999999995</v>
      </c>
      <c r="H38" s="12">
        <f>SQRT(H37)</f>
        <v>0.37496399827183408</v>
      </c>
    </row>
    <row r="39" spans="2:9" x14ac:dyDescent="0.2">
      <c r="B39" s="11">
        <f t="shared" si="0"/>
        <v>-0.39999999999999936</v>
      </c>
      <c r="C39" s="5">
        <v>0.5815083834305399</v>
      </c>
      <c r="D39" s="5">
        <v>0.13159999999999999</v>
      </c>
    </row>
    <row r="40" spans="2:9" x14ac:dyDescent="0.2">
      <c r="B40" s="11">
        <f t="shared" si="0"/>
        <v>-0.29999999999999938</v>
      </c>
      <c r="C40" s="5">
        <v>0.54680709578424436</v>
      </c>
      <c r="D40" s="5">
        <v>0.12869999999999998</v>
      </c>
    </row>
    <row r="41" spans="2:9" x14ac:dyDescent="0.2">
      <c r="B41" s="11">
        <f t="shared" si="0"/>
        <v>-0.19999999999999937</v>
      </c>
      <c r="C41" s="5">
        <v>0.51331082201722555</v>
      </c>
      <c r="D41" s="5">
        <v>0.12579999999999997</v>
      </c>
    </row>
    <row r="42" spans="2:9" x14ac:dyDescent="0.2">
      <c r="B42" s="11">
        <f t="shared" si="0"/>
        <v>-9.9999999999999367E-2</v>
      </c>
      <c r="C42" s="5">
        <v>0.48127123329781496</v>
      </c>
      <c r="D42" s="5">
        <v>0.12289999999999998</v>
      </c>
    </row>
    <row r="43" spans="2:9" x14ac:dyDescent="0.2">
      <c r="B43" s="11">
        <f t="shared" si="0"/>
        <v>6.3837823915946501E-16</v>
      </c>
      <c r="C43" s="5">
        <v>0.45099889135118704</v>
      </c>
      <c r="D43" s="5">
        <v>0.11999999999999997</v>
      </c>
    </row>
    <row r="44" spans="2:9" x14ac:dyDescent="0.2">
      <c r="B44" s="11">
        <f t="shared" si="0"/>
        <v>0.10000000000000064</v>
      </c>
      <c r="C44" s="5">
        <v>0.42287350354449954</v>
      </c>
      <c r="D44" s="5">
        <v>0.11709999999999998</v>
      </c>
    </row>
    <row r="45" spans="2:9" x14ac:dyDescent="0.2">
      <c r="B45" s="11">
        <f t="shared" si="0"/>
        <v>0.20000000000000065</v>
      </c>
      <c r="C45" s="5">
        <v>0.39735123002200445</v>
      </c>
      <c r="D45" s="5">
        <v>0.11419999999999998</v>
      </c>
    </row>
    <row r="46" spans="2:9" x14ac:dyDescent="0.2">
      <c r="B46" s="11">
        <f t="shared" si="0"/>
        <v>0.30000000000000066</v>
      </c>
      <c r="C46" s="5">
        <v>0.37496399827183396</v>
      </c>
      <c r="D46" s="5">
        <v>0.11129999999999997</v>
      </c>
    </row>
    <row r="47" spans="2:9" x14ac:dyDescent="0.2">
      <c r="B47" s="11">
        <f t="shared" si="0"/>
        <v>0.40000000000000069</v>
      </c>
      <c r="C47" s="5">
        <v>0.35630324163554833</v>
      </c>
      <c r="D47" s="5">
        <v>0.10839999999999997</v>
      </c>
    </row>
    <row r="48" spans="2:9" x14ac:dyDescent="0.2">
      <c r="B48" s="11">
        <f t="shared" si="0"/>
        <v>0.50000000000000067</v>
      </c>
      <c r="C48" s="5">
        <v>0.34197953155123179</v>
      </c>
      <c r="D48" s="5">
        <v>0.10549999999999998</v>
      </c>
    </row>
    <row r="49" spans="2:4" x14ac:dyDescent="0.2">
      <c r="B49" s="11">
        <f t="shared" si="0"/>
        <v>0.60000000000000064</v>
      </c>
      <c r="C49" s="5">
        <v>0.33255375505322443</v>
      </c>
      <c r="D49" s="5">
        <v>0.10259999999999998</v>
      </c>
    </row>
    <row r="50" spans="2:4" x14ac:dyDescent="0.2">
      <c r="B50" s="11">
        <f t="shared" si="0"/>
        <v>0.70000000000000062</v>
      </c>
      <c r="C50" s="5">
        <v>0.3284478649648982</v>
      </c>
      <c r="D50" s="5">
        <v>9.9699999999999983E-2</v>
      </c>
    </row>
    <row r="51" spans="2:4" x14ac:dyDescent="0.2">
      <c r="B51" s="11">
        <f t="shared" si="0"/>
        <v>0.8000000000000006</v>
      </c>
      <c r="C51" s="5">
        <v>0.32986057660775414</v>
      </c>
      <c r="D51" s="5">
        <v>9.6799999999999983E-2</v>
      </c>
    </row>
    <row r="52" spans="2:4" x14ac:dyDescent="0.2">
      <c r="B52" s="11">
        <f t="shared" si="0"/>
        <v>0.90000000000000058</v>
      </c>
      <c r="C52" s="5">
        <v>0.3367224376248189</v>
      </c>
      <c r="D52" s="5">
        <v>9.3899999999999983E-2</v>
      </c>
    </row>
    <row r="53" spans="2:4" x14ac:dyDescent="0.2">
      <c r="B53" s="11">
        <f t="shared" si="0"/>
        <v>1.0000000000000007</v>
      </c>
      <c r="C53" s="5">
        <v>0.34871191548325398</v>
      </c>
      <c r="D53" s="5">
        <v>9.0999999999999984E-2</v>
      </c>
    </row>
    <row r="54" spans="2:4" x14ac:dyDescent="0.2">
      <c r="B54" s="11">
        <f t="shared" si="0"/>
        <v>1.1000000000000008</v>
      </c>
      <c r="C54" s="5">
        <v>0.36532451327552623</v>
      </c>
      <c r="D54" s="5">
        <v>8.8099999999999984E-2</v>
      </c>
    </row>
    <row r="55" spans="2:4" x14ac:dyDescent="0.2">
      <c r="B55" s="11">
        <f t="shared" si="0"/>
        <v>1.2000000000000008</v>
      </c>
      <c r="C55" s="5">
        <v>0.38596372886580954</v>
      </c>
      <c r="D55" s="5">
        <v>8.5199999999999984E-2</v>
      </c>
    </row>
    <row r="56" spans="2:4" x14ac:dyDescent="0.2">
      <c r="B56" s="11">
        <f t="shared" si="0"/>
        <v>1.3000000000000009</v>
      </c>
      <c r="C56" s="5">
        <v>0.41002195063191466</v>
      </c>
      <c r="D56" s="5">
        <v>8.2299999999999984E-2</v>
      </c>
    </row>
    <row r="57" spans="2:4" x14ac:dyDescent="0.2">
      <c r="B57" s="11">
        <f t="shared" si="0"/>
        <v>1.400000000000001</v>
      </c>
      <c r="C57" s="5">
        <v>0.43693477774148431</v>
      </c>
      <c r="D57" s="5">
        <v>7.9399999999999971E-2</v>
      </c>
    </row>
    <row r="58" spans="2:4" x14ac:dyDescent="0.2">
      <c r="B58" s="11">
        <f t="shared" si="0"/>
        <v>1.5000000000000011</v>
      </c>
      <c r="C58" s="5">
        <v>0.46620810803760199</v>
      </c>
      <c r="D58" s="5">
        <v>7.6499999999999985E-2</v>
      </c>
    </row>
    <row r="59" spans="2:4" x14ac:dyDescent="0.2">
      <c r="B59" s="11">
        <f t="shared" si="0"/>
        <v>1.6000000000000012</v>
      </c>
      <c r="C59" s="5">
        <v>0.4974253712869906</v>
      </c>
      <c r="D59" s="5">
        <v>7.3599999999999971E-2</v>
      </c>
    </row>
    <row r="60" spans="2:4" x14ac:dyDescent="0.2">
      <c r="B60" s="11">
        <f t="shared" si="0"/>
        <v>1.7000000000000013</v>
      </c>
      <c r="C60" s="5">
        <v>0.53024334036364895</v>
      </c>
      <c r="D60" s="5">
        <v>7.0699999999999985E-2</v>
      </c>
    </row>
    <row r="61" spans="2:4" x14ac:dyDescent="0.2">
      <c r="B61" s="11">
        <f t="shared" si="0"/>
        <v>1.8000000000000014</v>
      </c>
      <c r="C61" s="5">
        <v>0.56438284878263323</v>
      </c>
      <c r="D61" s="5">
        <v>6.7799999999999971E-2</v>
      </c>
    </row>
    <row r="62" spans="2:4" x14ac:dyDescent="0.2">
      <c r="B62" s="11">
        <f t="shared" si="0"/>
        <v>1.9000000000000015</v>
      </c>
      <c r="C62" s="5">
        <v>0.59961821186485043</v>
      </c>
      <c r="D62" s="5">
        <v>6.4899999999999999E-2</v>
      </c>
    </row>
    <row r="63" spans="2:4" x14ac:dyDescent="0.2">
      <c r="B63" s="11">
        <f t="shared" si="0"/>
        <v>2.0000000000000013</v>
      </c>
      <c r="C63" s="5">
        <v>0.63576725301009385</v>
      </c>
      <c r="D63" s="5">
        <v>6.1999999999999972E-2</v>
      </c>
    </row>
    <row r="64" spans="2:4" x14ac:dyDescent="0.2">
      <c r="B64" s="11"/>
    </row>
    <row r="65" spans="2:2" x14ac:dyDescent="0.2">
      <c r="B65" s="11"/>
    </row>
    <row r="66" spans="2:2" x14ac:dyDescent="0.2">
      <c r="B66" s="11"/>
    </row>
    <row r="67" spans="2:2" x14ac:dyDescent="0.2">
      <c r="B67" s="11"/>
    </row>
    <row r="68" spans="2:2" x14ac:dyDescent="0.2">
      <c r="B68" s="11"/>
    </row>
    <row r="69" spans="2:2" x14ac:dyDescent="0.2">
      <c r="B69" s="11"/>
    </row>
    <row r="70" spans="2:2" x14ac:dyDescent="0.2">
      <c r="B70" s="11"/>
    </row>
    <row r="71" spans="2:2" x14ac:dyDescent="0.2">
      <c r="B71" s="11"/>
    </row>
    <row r="72" spans="2:2" x14ac:dyDescent="0.2">
      <c r="B72" s="11"/>
    </row>
    <row r="73" spans="2:2" x14ac:dyDescent="0.2">
      <c r="B73" s="11"/>
    </row>
    <row r="74" spans="2:2" x14ac:dyDescent="0.2">
      <c r="B74" s="11"/>
    </row>
    <row r="75" spans="2:2" x14ac:dyDescent="0.2">
      <c r="B75" s="11"/>
    </row>
    <row r="76" spans="2:2" x14ac:dyDescent="0.2">
      <c r="B76" s="11"/>
    </row>
    <row r="77" spans="2:2" x14ac:dyDescent="0.2">
      <c r="B77" s="11"/>
    </row>
    <row r="78" spans="2:2" x14ac:dyDescent="0.2">
      <c r="B78" s="11"/>
    </row>
    <row r="79" spans="2:2" x14ac:dyDescent="0.2">
      <c r="B79" s="11"/>
    </row>
    <row r="80" spans="2:2" x14ac:dyDescent="0.2">
      <c r="B80" s="11"/>
    </row>
    <row r="81" spans="2:2" x14ac:dyDescent="0.2">
      <c r="B81" s="11"/>
    </row>
    <row r="82" spans="2:2" x14ac:dyDescent="0.2">
      <c r="B82" s="11"/>
    </row>
    <row r="83" spans="2:2" x14ac:dyDescent="0.2">
      <c r="B83" s="11"/>
    </row>
    <row r="84" spans="2:2" x14ac:dyDescent="0.2">
      <c r="B84" s="11"/>
    </row>
    <row r="85" spans="2:2" x14ac:dyDescent="0.2">
      <c r="B85" s="11"/>
    </row>
    <row r="86" spans="2:2" x14ac:dyDescent="0.2">
      <c r="B86" s="11"/>
    </row>
    <row r="87" spans="2:2" x14ac:dyDescent="0.2">
      <c r="B87" s="11"/>
    </row>
    <row r="88" spans="2:2" x14ac:dyDescent="0.2">
      <c r="B88" s="11"/>
    </row>
    <row r="89" spans="2:2" x14ac:dyDescent="0.2">
      <c r="B89" s="11"/>
    </row>
    <row r="90" spans="2:2" x14ac:dyDescent="0.2">
      <c r="B90" s="11"/>
    </row>
    <row r="91" spans="2:2" x14ac:dyDescent="0.2">
      <c r="B91" s="11"/>
    </row>
    <row r="92" spans="2:2" x14ac:dyDescent="0.2">
      <c r="B92" s="11"/>
    </row>
    <row r="93" spans="2:2" x14ac:dyDescent="0.2">
      <c r="B93" s="11"/>
    </row>
    <row r="94" spans="2:2" x14ac:dyDescent="0.2">
      <c r="B94" s="11"/>
    </row>
    <row r="95" spans="2:2" x14ac:dyDescent="0.2">
      <c r="B95" s="11"/>
    </row>
    <row r="96" spans="2:2" x14ac:dyDescent="0.2">
      <c r="B96" s="11"/>
    </row>
    <row r="97" spans="2:2" x14ac:dyDescent="0.2">
      <c r="B97" s="11"/>
    </row>
    <row r="98" spans="2:2" x14ac:dyDescent="0.2">
      <c r="B98" s="11"/>
    </row>
    <row r="99" spans="2:2" x14ac:dyDescent="0.2">
      <c r="B99" s="11"/>
    </row>
    <row r="100" spans="2:2" x14ac:dyDescent="0.2">
      <c r="B100" s="11"/>
    </row>
    <row r="101" spans="2:2" x14ac:dyDescent="0.2">
      <c r="B101" s="11"/>
    </row>
    <row r="102" spans="2:2" x14ac:dyDescent="0.2">
      <c r="B102" s="11"/>
    </row>
    <row r="103" spans="2:2" x14ac:dyDescent="0.2">
      <c r="B103" s="11"/>
    </row>
    <row r="104" spans="2:2" x14ac:dyDescent="0.2">
      <c r="B104" s="11"/>
    </row>
    <row r="105" spans="2:2" x14ac:dyDescent="0.2">
      <c r="B105" s="11"/>
    </row>
    <row r="106" spans="2:2" x14ac:dyDescent="0.2">
      <c r="B106" s="11"/>
    </row>
    <row r="107" spans="2:2" x14ac:dyDescent="0.2">
      <c r="B107" s="11"/>
    </row>
    <row r="108" spans="2:2" x14ac:dyDescent="0.2">
      <c r="B108" s="11"/>
    </row>
    <row r="109" spans="2:2" x14ac:dyDescent="0.2">
      <c r="B109" s="11"/>
    </row>
    <row r="110" spans="2:2" x14ac:dyDescent="0.2">
      <c r="B110" s="11"/>
    </row>
    <row r="111" spans="2:2" x14ac:dyDescent="0.2">
      <c r="B111" s="11"/>
    </row>
    <row r="112" spans="2:2" x14ac:dyDescent="0.2">
      <c r="B112" s="11"/>
    </row>
    <row r="113" spans="2:2" x14ac:dyDescent="0.2">
      <c r="B113" s="11"/>
    </row>
    <row r="114" spans="2:2" x14ac:dyDescent="0.2">
      <c r="B114" s="11"/>
    </row>
    <row r="115" spans="2:2" x14ac:dyDescent="0.2">
      <c r="B115" s="11"/>
    </row>
    <row r="116" spans="2:2" x14ac:dyDescent="0.2">
      <c r="B116" s="11"/>
    </row>
    <row r="117" spans="2:2" x14ac:dyDescent="0.2">
      <c r="B117" s="11"/>
    </row>
    <row r="118" spans="2:2" x14ac:dyDescent="0.2">
      <c r="B118" s="11"/>
    </row>
    <row r="119" spans="2:2" x14ac:dyDescent="0.2">
      <c r="B119" s="11"/>
    </row>
    <row r="120" spans="2:2" x14ac:dyDescent="0.2">
      <c r="B120" s="11"/>
    </row>
    <row r="121" spans="2:2" x14ac:dyDescent="0.2">
      <c r="B121" s="11"/>
    </row>
    <row r="122" spans="2:2" x14ac:dyDescent="0.2">
      <c r="B122" s="11"/>
    </row>
    <row r="123" spans="2:2" x14ac:dyDescent="0.2">
      <c r="B123" s="11"/>
    </row>
    <row r="124" spans="2:2" x14ac:dyDescent="0.2">
      <c r="B124" s="11"/>
    </row>
    <row r="125" spans="2:2" x14ac:dyDescent="0.2">
      <c r="B125" s="11"/>
    </row>
    <row r="126" spans="2:2" x14ac:dyDescent="0.2">
      <c r="B126" s="11"/>
    </row>
    <row r="127" spans="2:2" x14ac:dyDescent="0.2">
      <c r="B127" s="11"/>
    </row>
    <row r="128" spans="2:2" x14ac:dyDescent="0.2">
      <c r="B128" s="11"/>
    </row>
    <row r="129" spans="2:2" x14ac:dyDescent="0.2">
      <c r="B129" s="11"/>
    </row>
    <row r="130" spans="2:2" x14ac:dyDescent="0.2">
      <c r="B130" s="11"/>
    </row>
    <row r="131" spans="2:2" x14ac:dyDescent="0.2">
      <c r="B131" s="11"/>
    </row>
    <row r="132" spans="2:2" x14ac:dyDescent="0.2">
      <c r="B132" s="11"/>
    </row>
    <row r="133" spans="2:2" x14ac:dyDescent="0.2">
      <c r="B133" s="11"/>
    </row>
    <row r="134" spans="2:2" x14ac:dyDescent="0.2">
      <c r="B134" s="11"/>
    </row>
    <row r="135" spans="2:2" x14ac:dyDescent="0.2">
      <c r="B135" s="11"/>
    </row>
    <row r="136" spans="2:2" x14ac:dyDescent="0.2">
      <c r="B136" s="11"/>
    </row>
    <row r="137" spans="2:2" x14ac:dyDescent="0.2">
      <c r="B137" s="11"/>
    </row>
    <row r="138" spans="2:2" x14ac:dyDescent="0.2">
      <c r="B138" s="11"/>
    </row>
    <row r="139" spans="2:2" x14ac:dyDescent="0.2">
      <c r="B139" s="11"/>
    </row>
    <row r="140" spans="2:2" x14ac:dyDescent="0.2">
      <c r="B140" s="11"/>
    </row>
    <row r="141" spans="2:2" x14ac:dyDescent="0.2">
      <c r="B141" s="11"/>
    </row>
    <row r="142" spans="2:2" x14ac:dyDescent="0.2">
      <c r="B142" s="11"/>
    </row>
    <row r="143" spans="2:2" x14ac:dyDescent="0.2">
      <c r="B143" s="11"/>
    </row>
    <row r="144" spans="2:2" x14ac:dyDescent="0.2">
      <c r="B144" s="11"/>
    </row>
    <row r="145" spans="2:2" x14ac:dyDescent="0.2">
      <c r="B145" s="11"/>
    </row>
    <row r="146" spans="2:2" x14ac:dyDescent="0.2">
      <c r="B146" s="11"/>
    </row>
    <row r="147" spans="2:2" x14ac:dyDescent="0.2">
      <c r="B147" s="11"/>
    </row>
    <row r="148" spans="2:2" x14ac:dyDescent="0.2">
      <c r="B148" s="1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A28C-7C74-5847-AB02-5635C3B6CD6E}">
  <sheetPr codeName="Sheet5"/>
  <dimension ref="A1:M298"/>
  <sheetViews>
    <sheetView zoomScale="150" workbookViewId="0">
      <selection activeCell="D27" sqref="D27"/>
    </sheetView>
  </sheetViews>
  <sheetFormatPr baseColWidth="10" defaultRowHeight="16" x14ac:dyDescent="0.2"/>
  <cols>
    <col min="1" max="1" width="12.83203125" bestFit="1" customWidth="1"/>
    <col min="2" max="2" width="8.83203125" bestFit="1" customWidth="1"/>
    <col min="3" max="3" width="10.5" bestFit="1" customWidth="1"/>
    <col min="4" max="4" width="8.5" customWidth="1"/>
    <col min="5" max="5" width="7.33203125" bestFit="1" customWidth="1"/>
    <col min="7" max="7" width="11.5" bestFit="1" customWidth="1"/>
    <col min="8" max="8" width="10.5" bestFit="1" customWidth="1"/>
    <col min="9" max="9" width="7.6640625" bestFit="1" customWidth="1"/>
    <col min="10" max="11" width="4.6640625" bestFit="1" customWidth="1"/>
  </cols>
  <sheetData>
    <row r="1" spans="1:13" x14ac:dyDescent="0.2">
      <c r="A1" s="18" t="s">
        <v>27</v>
      </c>
      <c r="B1" s="18" t="s">
        <v>28</v>
      </c>
      <c r="C1" s="18" t="s">
        <v>29</v>
      </c>
      <c r="D1" s="18" t="s">
        <v>30</v>
      </c>
      <c r="E1" s="18" t="s">
        <v>31</v>
      </c>
      <c r="G1" s="18" t="s">
        <v>32</v>
      </c>
      <c r="I1" t="s">
        <v>47</v>
      </c>
      <c r="J1" s="19">
        <v>0</v>
      </c>
      <c r="K1" s="19">
        <v>0.05</v>
      </c>
    </row>
    <row r="2" spans="1:13" x14ac:dyDescent="0.2">
      <c r="A2" s="18" t="s">
        <v>28</v>
      </c>
      <c r="B2" s="26">
        <v>0.1</v>
      </c>
      <c r="C2" s="26">
        <v>0.01</v>
      </c>
      <c r="D2" s="26">
        <v>0.03</v>
      </c>
      <c r="E2" s="26">
        <v>0.05</v>
      </c>
      <c r="G2" s="19">
        <v>0.06</v>
      </c>
      <c r="J2" s="19">
        <f>$G2-J$1</f>
        <v>0.06</v>
      </c>
      <c r="K2" s="19">
        <f>$G2-K$1</f>
        <v>9.999999999999995E-3</v>
      </c>
      <c r="M2" t="s">
        <v>48</v>
      </c>
    </row>
    <row r="3" spans="1:13" x14ac:dyDescent="0.2">
      <c r="A3" s="18" t="s">
        <v>29</v>
      </c>
      <c r="B3" s="26">
        <v>0.01</v>
      </c>
      <c r="C3" s="26">
        <v>0.3</v>
      </c>
      <c r="D3" s="26">
        <v>0.06</v>
      </c>
      <c r="E3" s="26">
        <v>-0.04</v>
      </c>
      <c r="G3" s="19">
        <v>0.08</v>
      </c>
      <c r="J3" s="19">
        <f t="shared" ref="J3:K5" si="0">$G3-J$1</f>
        <v>0.08</v>
      </c>
      <c r="K3" s="19">
        <f t="shared" si="0"/>
        <v>0.03</v>
      </c>
      <c r="M3" t="s">
        <v>49</v>
      </c>
    </row>
    <row r="4" spans="1:13" x14ac:dyDescent="0.2">
      <c r="A4" s="18" t="s">
        <v>30</v>
      </c>
      <c r="B4" s="26">
        <v>0.03</v>
      </c>
      <c r="C4" s="26">
        <v>0.06</v>
      </c>
      <c r="D4" s="26">
        <v>0.4</v>
      </c>
      <c r="E4" s="26">
        <v>0.02</v>
      </c>
      <c r="G4" s="19">
        <v>0.1</v>
      </c>
      <c r="J4" s="19">
        <f t="shared" si="0"/>
        <v>0.1</v>
      </c>
      <c r="K4" s="19">
        <f t="shared" si="0"/>
        <v>0.05</v>
      </c>
    </row>
    <row r="5" spans="1:13" x14ac:dyDescent="0.2">
      <c r="A5" s="18" t="s">
        <v>31</v>
      </c>
      <c r="B5" s="26">
        <v>0.05</v>
      </c>
      <c r="C5" s="26">
        <v>-0.04</v>
      </c>
      <c r="D5" s="26">
        <v>0.02</v>
      </c>
      <c r="E5" s="26">
        <v>0.5</v>
      </c>
      <c r="G5" s="19">
        <v>0.15</v>
      </c>
      <c r="J5" s="19">
        <f t="shared" si="0"/>
        <v>0.15</v>
      </c>
      <c r="K5" s="19">
        <f t="shared" si="0"/>
        <v>9.9999999999999992E-2</v>
      </c>
    </row>
    <row r="7" spans="1:13" x14ac:dyDescent="0.2">
      <c r="C7" s="27" t="s">
        <v>69</v>
      </c>
      <c r="H7" s="27" t="s">
        <v>70</v>
      </c>
    </row>
    <row r="8" spans="1:13" x14ac:dyDescent="0.2">
      <c r="B8" s="15">
        <f t="array" ref="B8:B11">MMULT(MINVERSE(B2:E5),J2:J5)</f>
        <v>0.38610628324643165</v>
      </c>
      <c r="C8" s="28">
        <f>B8/SUM($B$8:$B$11)</f>
        <v>0.35527263160809713</v>
      </c>
      <c r="D8" s="15"/>
      <c r="E8" s="15"/>
      <c r="G8" s="16">
        <f t="array" ref="G8:G11">MMULT(MINVERSE(B2:E5),K2:K5)</f>
        <v>-4.6031495233580917E-2</v>
      </c>
      <c r="H8" s="29">
        <f>G8/SUM($G$8:$G$11)</f>
        <v>-0.12308868501529065</v>
      </c>
    </row>
    <row r="9" spans="1:13" x14ac:dyDescent="0.2">
      <c r="B9" s="15">
        <v>0.25673204974832409</v>
      </c>
      <c r="C9" s="28">
        <f t="shared" ref="C9:C11" si="1">B9/SUM($B$8:$B$11)</f>
        <v>0.23622995763063889</v>
      </c>
      <c r="D9" s="15"/>
      <c r="E9" s="15"/>
      <c r="G9" s="16">
        <v>0.10911224973478097</v>
      </c>
      <c r="H9" s="29">
        <f t="shared" ref="H9:H11" si="2">G9/SUM($G$8:$G$11)</f>
        <v>0.2917672621921778</v>
      </c>
      <c r="I9" t="s">
        <v>50</v>
      </c>
      <c r="M9" t="s">
        <v>51</v>
      </c>
    </row>
    <row r="10" spans="1:13" x14ac:dyDescent="0.2">
      <c r="B10" s="15">
        <v>0.16877337125401595</v>
      </c>
      <c r="C10" s="28">
        <f t="shared" si="1"/>
        <v>0.15529547783223951</v>
      </c>
      <c r="D10" s="15"/>
      <c r="E10" s="15"/>
      <c r="G10" s="16">
        <v>0.10162216253225893</v>
      </c>
      <c r="H10" s="29">
        <f t="shared" si="2"/>
        <v>0.27173869306293263</v>
      </c>
      <c r="M10" t="s">
        <v>52</v>
      </c>
    </row>
    <row r="11" spans="1:13" x14ac:dyDescent="0.2">
      <c r="B11" s="15">
        <v>0.27517700080506213</v>
      </c>
      <c r="C11" s="28">
        <f t="shared" si="1"/>
        <v>0.25320193292902443</v>
      </c>
      <c r="D11" s="15"/>
      <c r="E11" s="15"/>
      <c r="G11" s="16">
        <v>0.2092672430008502</v>
      </c>
      <c r="H11" s="29">
        <f t="shared" si="2"/>
        <v>0.55958272976018031</v>
      </c>
      <c r="M11" t="s">
        <v>53</v>
      </c>
    </row>
    <row r="13" spans="1:13" x14ac:dyDescent="0.2">
      <c r="B13" s="14"/>
      <c r="C13" s="14"/>
      <c r="D13" s="14"/>
      <c r="E13" s="14"/>
    </row>
    <row r="14" spans="1:13" x14ac:dyDescent="0.2">
      <c r="B14" s="30" t="s">
        <v>36</v>
      </c>
      <c r="C14" s="30" t="s">
        <v>37</v>
      </c>
      <c r="D14" s="14"/>
      <c r="E14" s="14"/>
    </row>
    <row r="15" spans="1:13" x14ac:dyDescent="0.2">
      <c r="A15" s="17" t="s">
        <v>54</v>
      </c>
      <c r="B15" s="5" cm="1">
        <f t="array" ref="B15">MMULT(TRANSPOSE($C$8:$C$11),$G$2:$G$5)</f>
        <v>9.3724592229514556E-2</v>
      </c>
      <c r="C15" s="5" cm="1">
        <f t="array" ref="C15">MMULT(TRANSPOSE($H$8:$H$11),$G$2:$G$5)</f>
        <v>0.12706733864477709</v>
      </c>
      <c r="D15" s="14"/>
      <c r="E15" s="14"/>
    </row>
    <row r="16" spans="1:13" x14ac:dyDescent="0.2">
      <c r="A16" s="17" t="s">
        <v>55</v>
      </c>
      <c r="B16" s="12" cm="1">
        <f t="array" ref="B16">MMULT(MMULT(TRANSPOSE($C$8:$C$11),$B$2:$E$5),$C$8:$C$11)</f>
        <v>8.6239939551885511E-2</v>
      </c>
      <c r="C16" s="12" cm="1">
        <f t="array" ref="C16">MMULT(MMULT(TRANSPOSE($H$8:$H$11),$B$2:$E$5),$H$8:$H$11)</f>
        <v>0.20607884500118057</v>
      </c>
      <c r="D16" s="14"/>
      <c r="E16" s="14"/>
    </row>
    <row r="17" spans="1:4" x14ac:dyDescent="0.2">
      <c r="A17" s="17" t="s">
        <v>25</v>
      </c>
      <c r="B17" s="12">
        <f>SQRT(B16)</f>
        <v>0.29366637456795341</v>
      </c>
      <c r="C17" s="12">
        <f>SQRT(C16)</f>
        <v>0.45395907855354162</v>
      </c>
    </row>
    <row r="18" spans="1:4" x14ac:dyDescent="0.2">
      <c r="A18" s="17" t="s">
        <v>56</v>
      </c>
      <c r="B18" s="12" cm="1">
        <f t="array" ref="B18">MMULT(MMULT(TRANSPOSE($C$8:$C$11),$B$2:$E$5),$H$8:$H$11)</f>
        <v>0.11692000299035391</v>
      </c>
      <c r="C18" s="12" cm="1">
        <f t="array" ref="C18">MMULT(MMULT(TRANSPOSE($H$8:$H$11),$B$2:$E$5),$C$8:$C$11)</f>
        <v>0.11692000299035392</v>
      </c>
    </row>
    <row r="21" spans="1:4" x14ac:dyDescent="0.2">
      <c r="A21" t="s">
        <v>21</v>
      </c>
      <c r="B21">
        <v>0.3</v>
      </c>
      <c r="C21">
        <f>1-B21</f>
        <v>0.7</v>
      </c>
    </row>
    <row r="23" spans="1:4" x14ac:dyDescent="0.2">
      <c r="A23" t="s">
        <v>57</v>
      </c>
      <c r="B23">
        <f>B21*B15+C21*C15</f>
        <v>0.11706451472019833</v>
      </c>
    </row>
    <row r="24" spans="1:4" x14ac:dyDescent="0.2">
      <c r="B24">
        <f>SQRT(B21^2*B16+C21^2*C16+2*B21*C21*B18)</f>
        <v>0.39729916922414626</v>
      </c>
    </row>
    <row r="25" spans="1:4" x14ac:dyDescent="0.2">
      <c r="C25" s="5">
        <f>B24</f>
        <v>0.39729916922414626</v>
      </c>
      <c r="D25" s="5">
        <f>B23</f>
        <v>0.11706451472019833</v>
      </c>
    </row>
    <row r="26" spans="1:4" x14ac:dyDescent="0.2">
      <c r="B26" s="1">
        <v>-3</v>
      </c>
      <c r="C26" s="5">
        <f t="dataTable" ref="C26:D146" dt2D="0" dtr="0" r1="B21"/>
        <v>1.1257623657847888</v>
      </c>
      <c r="D26" s="5">
        <v>0.22709557789056473</v>
      </c>
    </row>
    <row r="27" spans="1:4" x14ac:dyDescent="0.2">
      <c r="B27" s="2">
        <f>B26+5%</f>
        <v>-2.95</v>
      </c>
      <c r="C27" s="5">
        <v>1.1140141755790209</v>
      </c>
      <c r="D27" s="5">
        <v>0.22542844056980155</v>
      </c>
    </row>
    <row r="28" spans="1:4" x14ac:dyDescent="0.2">
      <c r="B28" s="2">
        <f t="shared" ref="B28:B91" si="3">B27+5%</f>
        <v>-2.9000000000000004</v>
      </c>
      <c r="C28" s="5">
        <v>1.1022734036787374</v>
      </c>
      <c r="D28" s="5">
        <v>0.22376130324903848</v>
      </c>
    </row>
    <row r="29" spans="1:4" x14ac:dyDescent="0.2">
      <c r="B29" s="2">
        <f t="shared" si="3"/>
        <v>-2.8500000000000005</v>
      </c>
      <c r="C29" s="5">
        <v>1.0905402896807035</v>
      </c>
      <c r="D29" s="5">
        <v>0.22209416592827536</v>
      </c>
    </row>
    <row r="30" spans="1:4" x14ac:dyDescent="0.2">
      <c r="B30" s="2">
        <f t="shared" si="3"/>
        <v>-2.8000000000000007</v>
      </c>
      <c r="C30" s="5">
        <v>1.0788150834453045</v>
      </c>
      <c r="D30" s="5">
        <v>0.22042702860751223</v>
      </c>
    </row>
    <row r="31" spans="1:4" x14ac:dyDescent="0.2">
      <c r="B31" s="2">
        <f t="shared" si="3"/>
        <v>-2.7500000000000009</v>
      </c>
      <c r="C31" s="5">
        <v>1.0670980456425674</v>
      </c>
      <c r="D31" s="5">
        <v>0.21875989128674911</v>
      </c>
    </row>
    <row r="32" spans="1:4" x14ac:dyDescent="0.2">
      <c r="B32" s="2">
        <f t="shared" si="3"/>
        <v>-2.7000000000000011</v>
      </c>
      <c r="C32" s="5">
        <v>1.0553894483327644</v>
      </c>
      <c r="D32" s="5">
        <v>0.21709275396598599</v>
      </c>
    </row>
    <row r="33" spans="2:6" x14ac:dyDescent="0.2">
      <c r="B33" s="2">
        <f t="shared" si="3"/>
        <v>-2.6500000000000012</v>
      </c>
      <c r="C33" s="5">
        <v>1.043689575584114</v>
      </c>
      <c r="D33" s="5">
        <v>0.21542561664522289</v>
      </c>
    </row>
    <row r="34" spans="2:6" x14ac:dyDescent="0.2">
      <c r="B34" s="2">
        <f t="shared" si="3"/>
        <v>-2.6000000000000014</v>
      </c>
      <c r="C34" s="5">
        <v>1.0319987241303266</v>
      </c>
      <c r="D34" s="5">
        <v>0.21375847932445974</v>
      </c>
    </row>
    <row r="35" spans="2:6" x14ac:dyDescent="0.2">
      <c r="B35" s="2">
        <f t="shared" si="3"/>
        <v>-2.5500000000000016</v>
      </c>
      <c r="C35" s="5">
        <v>1.0203172040709483</v>
      </c>
      <c r="D35" s="5">
        <v>0.21209134200369661</v>
      </c>
    </row>
    <row r="36" spans="2:6" x14ac:dyDescent="0.2">
      <c r="B36" s="2">
        <f t="shared" si="3"/>
        <v>-2.5000000000000018</v>
      </c>
      <c r="C36" s="5">
        <v>1.0086453396177242</v>
      </c>
      <c r="D36" s="5">
        <v>0.21042420468293352</v>
      </c>
    </row>
    <row r="37" spans="2:6" x14ac:dyDescent="0.2">
      <c r="B37" s="2">
        <f t="shared" si="3"/>
        <v>-2.450000000000002</v>
      </c>
      <c r="C37" s="5">
        <v>0.99698346989045561</v>
      </c>
      <c r="D37" s="5">
        <v>0.20875706736217037</v>
      </c>
    </row>
    <row r="38" spans="2:6" x14ac:dyDescent="0.2">
      <c r="B38" s="2">
        <f t="shared" si="3"/>
        <v>-2.4000000000000021</v>
      </c>
      <c r="C38" s="5">
        <v>0.98533194976613503</v>
      </c>
      <c r="D38" s="5">
        <v>0.20708993004140727</v>
      </c>
    </row>
    <row r="39" spans="2:6" x14ac:dyDescent="0.2">
      <c r="B39" s="2">
        <f t="shared" si="3"/>
        <v>-2.3500000000000023</v>
      </c>
      <c r="C39" s="5">
        <v>0.9736911507854612</v>
      </c>
      <c r="D39" s="5">
        <v>0.20542279272064418</v>
      </c>
    </row>
    <row r="40" spans="2:6" x14ac:dyDescent="0.2">
      <c r="B40" s="2">
        <f t="shared" si="3"/>
        <v>-2.3000000000000025</v>
      </c>
      <c r="C40" s="5">
        <v>0.96206146212118893</v>
      </c>
      <c r="D40" s="5">
        <v>0.203755655399881</v>
      </c>
    </row>
    <row r="41" spans="2:6" x14ac:dyDescent="0.2">
      <c r="B41" s="2">
        <f t="shared" si="3"/>
        <v>-2.2500000000000027</v>
      </c>
      <c r="C41" s="5">
        <v>0.95044329161316365</v>
      </c>
      <c r="D41" s="5">
        <v>0.2020885180791179</v>
      </c>
      <c r="F41" t="s">
        <v>58</v>
      </c>
    </row>
    <row r="42" spans="2:6" x14ac:dyDescent="0.2">
      <c r="B42" s="2">
        <f t="shared" si="3"/>
        <v>-2.2000000000000028</v>
      </c>
      <c r="C42" s="5">
        <v>0.93883706687530855</v>
      </c>
      <c r="D42" s="5">
        <v>0.20042138075835481</v>
      </c>
      <c r="F42" t="s">
        <v>59</v>
      </c>
    </row>
    <row r="43" spans="2:6" x14ac:dyDescent="0.2">
      <c r="B43" s="2">
        <f t="shared" si="3"/>
        <v>-2.150000000000003</v>
      </c>
      <c r="C43" s="5">
        <v>0.92724323648030071</v>
      </c>
      <c r="D43" s="5">
        <v>0.19875424343759165</v>
      </c>
    </row>
    <row r="44" spans="2:6" x14ac:dyDescent="0.2">
      <c r="B44" s="2">
        <f t="shared" si="3"/>
        <v>-2.1000000000000032</v>
      </c>
      <c r="C44" s="5">
        <v>0.91566227122818256</v>
      </c>
      <c r="D44" s="5">
        <v>0.19708710611682853</v>
      </c>
    </row>
    <row r="45" spans="2:6" x14ac:dyDescent="0.2">
      <c r="B45" s="2">
        <f t="shared" si="3"/>
        <v>-2.0500000000000034</v>
      </c>
      <c r="C45" s="5">
        <v>0.90409466550572404</v>
      </c>
      <c r="D45" s="5">
        <v>0.19541996879606538</v>
      </c>
    </row>
    <row r="46" spans="2:6" x14ac:dyDescent="0.2">
      <c r="B46" s="2">
        <f t="shared" si="3"/>
        <v>-2.0000000000000036</v>
      </c>
      <c r="C46" s="5">
        <v>0.89254093874394469</v>
      </c>
      <c r="D46" s="5">
        <v>0.19375283147530228</v>
      </c>
    </row>
    <row r="47" spans="2:6" x14ac:dyDescent="0.2">
      <c r="B47" s="2">
        <f t="shared" si="3"/>
        <v>-1.9500000000000035</v>
      </c>
      <c r="C47" s="5">
        <v>0.88100163698190603</v>
      </c>
      <c r="D47" s="5">
        <v>0.19208569415453922</v>
      </c>
    </row>
    <row r="48" spans="2:6" x14ac:dyDescent="0.2">
      <c r="B48" s="2">
        <f t="shared" si="3"/>
        <v>-1.9000000000000035</v>
      </c>
      <c r="C48" s="5">
        <v>0.8694773345456086</v>
      </c>
      <c r="D48" s="5">
        <v>0.19041855683377601</v>
      </c>
    </row>
    <row r="49" spans="2:4" x14ac:dyDescent="0.2">
      <c r="B49" s="2">
        <f t="shared" si="3"/>
        <v>-1.8500000000000034</v>
      </c>
      <c r="C49" s="5">
        <v>0.85796863585164729</v>
      </c>
      <c r="D49" s="5">
        <v>0.18875141951301289</v>
      </c>
    </row>
    <row r="50" spans="2:4" x14ac:dyDescent="0.2">
      <c r="B50" s="2">
        <f t="shared" si="3"/>
        <v>-1.8000000000000034</v>
      </c>
      <c r="C50" s="5">
        <v>0.84647617734617842</v>
      </c>
      <c r="D50" s="5">
        <v>0.18708428219224979</v>
      </c>
    </row>
    <row r="51" spans="2:4" x14ac:dyDescent="0.2">
      <c r="B51" s="2">
        <f t="shared" si="3"/>
        <v>-1.7500000000000033</v>
      </c>
      <c r="C51" s="5">
        <v>0.83500062959073429</v>
      </c>
      <c r="D51" s="5">
        <v>0.18541714487148667</v>
      </c>
    </row>
    <row r="52" spans="2:4" x14ac:dyDescent="0.2">
      <c r="B52" s="2">
        <f t="shared" si="3"/>
        <v>-1.7000000000000033</v>
      </c>
      <c r="C52" s="5">
        <v>0.82354269950750458</v>
      </c>
      <c r="D52" s="5">
        <v>0.18375000755072352</v>
      </c>
    </row>
    <row r="53" spans="2:4" x14ac:dyDescent="0.2">
      <c r="B53" s="2">
        <f t="shared" si="3"/>
        <v>-1.6500000000000032</v>
      </c>
      <c r="C53" s="5">
        <v>0.81210313279789481</v>
      </c>
      <c r="D53" s="5">
        <v>0.18208287022996039</v>
      </c>
    </row>
    <row r="54" spans="2:4" x14ac:dyDescent="0.2">
      <c r="B54" s="2">
        <f t="shared" si="3"/>
        <v>-1.6000000000000032</v>
      </c>
      <c r="C54" s="5">
        <v>0.80068271654948575</v>
      </c>
      <c r="D54" s="5">
        <v>0.18041573290919724</v>
      </c>
    </row>
    <row r="55" spans="2:4" x14ac:dyDescent="0.2">
      <c r="B55" s="2">
        <f t="shared" si="3"/>
        <v>-1.5500000000000032</v>
      </c>
      <c r="C55" s="5">
        <v>0.7892822820479598</v>
      </c>
      <c r="D55" s="5">
        <v>0.17874859558843417</v>
      </c>
    </row>
    <row r="56" spans="2:4" x14ac:dyDescent="0.2">
      <c r="B56" s="2">
        <f t="shared" si="3"/>
        <v>-1.5000000000000031</v>
      </c>
      <c r="C56" s="5">
        <v>0.77790270781214521</v>
      </c>
      <c r="D56" s="5">
        <v>0.17708145826767102</v>
      </c>
    </row>
    <row r="57" spans="2:4" x14ac:dyDescent="0.2">
      <c r="B57" s="2">
        <f t="shared" si="3"/>
        <v>-1.4500000000000031</v>
      </c>
      <c r="C57" s="5">
        <v>0.7665449228720792</v>
      </c>
      <c r="D57" s="5">
        <v>0.17541432094690784</v>
      </c>
    </row>
    <row r="58" spans="2:4" x14ac:dyDescent="0.2">
      <c r="B58" s="2">
        <f t="shared" si="3"/>
        <v>-1.400000000000003</v>
      </c>
      <c r="C58" s="5">
        <v>0.7552099103119071</v>
      </c>
      <c r="D58" s="5">
        <v>0.17374718362614475</v>
      </c>
    </row>
    <row r="59" spans="2:4" x14ac:dyDescent="0.2">
      <c r="B59" s="2">
        <f t="shared" si="3"/>
        <v>-1.350000000000003</v>
      </c>
      <c r="C59" s="5">
        <v>0.74389871110154282</v>
      </c>
      <c r="D59" s="5">
        <v>0.17208004630538168</v>
      </c>
    </row>
    <row r="60" spans="2:4" x14ac:dyDescent="0.2">
      <c r="B60" s="2">
        <f t="shared" si="3"/>
        <v>-1.3000000000000029</v>
      </c>
      <c r="C60" s="5">
        <v>0.73261242824334916</v>
      </c>
      <c r="D60" s="5">
        <v>0.17041290898461847</v>
      </c>
    </row>
    <row r="61" spans="2:4" x14ac:dyDescent="0.2">
      <c r="B61" s="2">
        <f t="shared" si="3"/>
        <v>-1.2500000000000029</v>
      </c>
      <c r="C61" s="5">
        <v>0.72135223126261838</v>
      </c>
      <c r="D61" s="5">
        <v>0.16874577166385535</v>
      </c>
    </row>
    <row r="62" spans="2:4" x14ac:dyDescent="0.2">
      <c r="B62" s="2">
        <f t="shared" si="3"/>
        <v>-1.2000000000000028</v>
      </c>
      <c r="C62" s="5">
        <v>0.71011936107344753</v>
      </c>
      <c r="D62" s="5">
        <v>0.16707863434309228</v>
      </c>
    </row>
    <row r="63" spans="2:4" x14ac:dyDescent="0.2">
      <c r="B63" s="2">
        <f t="shared" si="3"/>
        <v>-1.1500000000000028</v>
      </c>
      <c r="C63" s="5">
        <v>0.69891513525465065</v>
      </c>
      <c r="D63" s="5">
        <v>0.16541149702232913</v>
      </c>
    </row>
    <row r="64" spans="2:4" x14ac:dyDescent="0.2">
      <c r="B64" s="2">
        <f t="shared" si="3"/>
        <v>-1.1000000000000028</v>
      </c>
      <c r="C64" s="5">
        <v>0.68774095377369626</v>
      </c>
      <c r="D64" s="5">
        <v>0.16374435970156598</v>
      </c>
    </row>
    <row r="65" spans="2:4" x14ac:dyDescent="0.2">
      <c r="B65" s="2">
        <f t="shared" si="3"/>
        <v>-1.0500000000000027</v>
      </c>
      <c r="C65" s="5">
        <v>0.67659830520031761</v>
      </c>
      <c r="D65" s="5">
        <v>0.1620772223808028</v>
      </c>
    </row>
    <row r="66" spans="2:4" x14ac:dyDescent="0.2">
      <c r="B66" s="2">
        <f t="shared" si="3"/>
        <v>-1.0000000000000027</v>
      </c>
      <c r="C66" s="5">
        <v>0.66548877345541524</v>
      </c>
      <c r="D66" s="5">
        <v>0.16041008506003973</v>
      </c>
    </row>
    <row r="67" spans="2:4" x14ac:dyDescent="0.2">
      <c r="B67" s="2">
        <f t="shared" si="3"/>
        <v>-0.95000000000000262</v>
      </c>
      <c r="C67" s="5">
        <v>0.65441404514520118</v>
      </c>
      <c r="D67" s="5">
        <v>0.15874294773927658</v>
      </c>
    </row>
    <row r="68" spans="2:4" x14ac:dyDescent="0.2">
      <c r="B68" s="2">
        <f t="shared" si="3"/>
        <v>-0.90000000000000258</v>
      </c>
      <c r="C68" s="5">
        <v>0.64337591753521473</v>
      </c>
      <c r="D68" s="5">
        <v>0.15707581041851348</v>
      </c>
    </row>
    <row r="69" spans="2:4" x14ac:dyDescent="0.2">
      <c r="B69" s="2">
        <f t="shared" si="3"/>
        <v>-0.85000000000000253</v>
      </c>
      <c r="C69" s="5">
        <v>0.63237630722388349</v>
      </c>
      <c r="D69" s="5">
        <v>0.15540867309775033</v>
      </c>
    </row>
    <row r="70" spans="2:4" x14ac:dyDescent="0.2">
      <c r="B70" s="2">
        <f t="shared" si="3"/>
        <v>-0.80000000000000249</v>
      </c>
      <c r="C70" s="5">
        <v>0.62141725958072103</v>
      </c>
      <c r="D70" s="5">
        <v>0.15374153577698718</v>
      </c>
    </row>
    <row r="71" spans="2:4" x14ac:dyDescent="0.2">
      <c r="B71" s="2">
        <f t="shared" si="3"/>
        <v>-0.75000000000000244</v>
      </c>
      <c r="C71" s="5">
        <v>0.61050095902002699</v>
      </c>
      <c r="D71" s="5">
        <v>0.15207439845622409</v>
      </c>
    </row>
    <row r="72" spans="2:4" x14ac:dyDescent="0.2">
      <c r="B72" s="2">
        <f t="shared" si="3"/>
        <v>-0.7000000000000024</v>
      </c>
      <c r="C72" s="5">
        <v>0.59962974018705417</v>
      </c>
      <c r="D72" s="5">
        <v>0.15040726113546093</v>
      </c>
    </row>
    <row r="73" spans="2:4" x14ac:dyDescent="0.2">
      <c r="B73" s="2">
        <f t="shared" si="3"/>
        <v>-0.65000000000000235</v>
      </c>
      <c r="C73" s="5">
        <v>0.58880610014000134</v>
      </c>
      <c r="D73" s="5">
        <v>0.14874012381469781</v>
      </c>
    </row>
    <row r="74" spans="2:4" x14ac:dyDescent="0.2">
      <c r="B74" s="2">
        <f t="shared" si="3"/>
        <v>-0.60000000000000231</v>
      </c>
      <c r="C74" s="5">
        <v>0.57803271161779601</v>
      </c>
      <c r="D74" s="5">
        <v>0.14707298649393472</v>
      </c>
    </row>
    <row r="75" spans="2:4" x14ac:dyDescent="0.2">
      <c r="B75" s="2">
        <f t="shared" si="3"/>
        <v>-0.55000000000000226</v>
      </c>
      <c r="C75" s="5">
        <v>0.567312437490338</v>
      </c>
      <c r="D75" s="5">
        <v>0.14540584917317156</v>
      </c>
    </row>
    <row r="76" spans="2:4" x14ac:dyDescent="0.2">
      <c r="B76" s="2">
        <f t="shared" si="3"/>
        <v>-0.50000000000000222</v>
      </c>
      <c r="C76" s="5">
        <v>0.55664834649453276</v>
      </c>
      <c r="D76" s="5">
        <v>0.14373871185240844</v>
      </c>
    </row>
    <row r="77" spans="2:4" x14ac:dyDescent="0.2">
      <c r="B77" s="2">
        <f t="shared" si="3"/>
        <v>-0.45000000000000223</v>
      </c>
      <c r="C77" s="5">
        <v>0.54604373036582665</v>
      </c>
      <c r="D77" s="5">
        <v>0.14207157453164529</v>
      </c>
    </row>
    <row r="78" spans="2:4" x14ac:dyDescent="0.2">
      <c r="B78" s="2">
        <f t="shared" si="3"/>
        <v>-0.40000000000000224</v>
      </c>
      <c r="C78" s="5">
        <v>0.53550212248077944</v>
      </c>
      <c r="D78" s="5">
        <v>0.14040443721088219</v>
      </c>
    </row>
    <row r="79" spans="2:4" x14ac:dyDescent="0.2">
      <c r="B79" s="2">
        <f t="shared" si="3"/>
        <v>-0.35000000000000225</v>
      </c>
      <c r="C79" s="5">
        <v>0.52502731813104131</v>
      </c>
      <c r="D79" s="5">
        <v>0.13873729989011907</v>
      </c>
    </row>
    <row r="80" spans="2:4" x14ac:dyDescent="0.2">
      <c r="B80" s="2">
        <f t="shared" si="3"/>
        <v>-0.30000000000000226</v>
      </c>
      <c r="C80" s="5">
        <v>0.51462339655245881</v>
      </c>
      <c r="D80" s="5">
        <v>0.13707016256935592</v>
      </c>
    </row>
    <row r="81" spans="2:4" x14ac:dyDescent="0.2">
      <c r="B81" s="2">
        <f t="shared" si="3"/>
        <v>-0.25000000000000228</v>
      </c>
      <c r="C81" s="5">
        <v>0.50429474483417602</v>
      </c>
      <c r="D81" s="5">
        <v>0.13540302524859282</v>
      </c>
    </row>
    <row r="82" spans="2:4" x14ac:dyDescent="0.2">
      <c r="B82" s="2">
        <f t="shared" si="3"/>
        <v>-0.20000000000000229</v>
      </c>
      <c r="C82" s="5">
        <v>0.49404608383065451</v>
      </c>
      <c r="D82" s="5">
        <v>0.1337358879278297</v>
      </c>
    </row>
    <row r="83" spans="2:4" x14ac:dyDescent="0.2">
      <c r="B83" s="2">
        <f t="shared" si="3"/>
        <v>-0.1500000000000023</v>
      </c>
      <c r="C83" s="5">
        <v>0.48388249619334966</v>
      </c>
      <c r="D83" s="5">
        <v>0.13206875060706655</v>
      </c>
    </row>
    <row r="84" spans="2:4" x14ac:dyDescent="0.2">
      <c r="B84" s="2">
        <f t="shared" si="3"/>
        <v>-0.1000000000000023</v>
      </c>
      <c r="C84" s="5">
        <v>0.47380945662689122</v>
      </c>
      <c r="D84" s="5">
        <v>0.13040161328630345</v>
      </c>
    </row>
    <row r="85" spans="2:4" x14ac:dyDescent="0.2">
      <c r="B85" s="2">
        <f t="shared" si="3"/>
        <v>-5.0000000000002293E-2</v>
      </c>
      <c r="C85" s="5">
        <v>0.46383286445517691</v>
      </c>
      <c r="D85" s="5">
        <v>0.1287344759655403</v>
      </c>
    </row>
    <row r="86" spans="2:4" x14ac:dyDescent="0.2">
      <c r="B86" s="2">
        <f t="shared" si="3"/>
        <v>-2.2898349882893854E-15</v>
      </c>
      <c r="C86" s="5">
        <v>0.45395907855354206</v>
      </c>
      <c r="D86" s="5">
        <v>0.12706733864477715</v>
      </c>
    </row>
    <row r="87" spans="2:4" x14ac:dyDescent="0.2">
      <c r="B87" s="2">
        <f t="shared" si="3"/>
        <v>4.9999999999997713E-2</v>
      </c>
      <c r="C87" s="5">
        <v>0.44419495466127168</v>
      </c>
      <c r="D87" s="5">
        <v>0.12540020132401405</v>
      </c>
    </row>
    <row r="88" spans="2:4" x14ac:dyDescent="0.2">
      <c r="B88" s="2">
        <f t="shared" si="3"/>
        <v>9.9999999999997716E-2</v>
      </c>
      <c r="C88" s="5">
        <v>0.43454788503079744</v>
      </c>
      <c r="D88" s="5">
        <v>0.12373306400325092</v>
      </c>
    </row>
    <row r="89" spans="2:4" x14ac:dyDescent="0.2">
      <c r="B89" s="2">
        <f t="shared" si="3"/>
        <v>0.14999999999999772</v>
      </c>
      <c r="C89" s="5">
        <v>0.42502584029187096</v>
      </c>
      <c r="D89" s="5">
        <v>0.12206592668248779</v>
      </c>
    </row>
    <row r="90" spans="2:4" x14ac:dyDescent="0.2">
      <c r="B90" s="2">
        <f t="shared" si="3"/>
        <v>0.19999999999999774</v>
      </c>
      <c r="C90" s="5">
        <v>0.41563741330605042</v>
      </c>
      <c r="D90" s="5">
        <v>0.12039878936172467</v>
      </c>
    </row>
    <row r="91" spans="2:4" x14ac:dyDescent="0.2">
      <c r="B91" s="2">
        <f t="shared" si="3"/>
        <v>0.24999999999999772</v>
      </c>
      <c r="C91" s="5">
        <v>0.40639186465348925</v>
      </c>
      <c r="D91" s="5">
        <v>0.11873165204096153</v>
      </c>
    </row>
    <row r="92" spans="2:4" x14ac:dyDescent="0.2">
      <c r="B92" s="2">
        <f t="shared" ref="B92:B146" si="4">B91+5%</f>
        <v>0.29999999999999771</v>
      </c>
      <c r="C92" s="5">
        <v>0.39729916922414665</v>
      </c>
      <c r="D92" s="5">
        <v>0.11706451472019841</v>
      </c>
    </row>
    <row r="93" spans="2:4" x14ac:dyDescent="0.2">
      <c r="B93" s="2">
        <f t="shared" si="4"/>
        <v>0.3499999999999977</v>
      </c>
      <c r="C93" s="5">
        <v>0.38837006317263451</v>
      </c>
      <c r="D93" s="5">
        <v>0.11539737739943529</v>
      </c>
    </row>
    <row r="94" spans="2:4" x14ac:dyDescent="0.2">
      <c r="B94" s="2">
        <f t="shared" si="4"/>
        <v>0.39999999999999769</v>
      </c>
      <c r="C94" s="5">
        <v>0.37961609023340526</v>
      </c>
      <c r="D94" s="5">
        <v>0.11373024007867216</v>
      </c>
    </row>
    <row r="95" spans="2:4" x14ac:dyDescent="0.2">
      <c r="B95" s="2">
        <f t="shared" si="4"/>
        <v>0.44999999999999768</v>
      </c>
      <c r="C95" s="5">
        <v>0.37104964607494156</v>
      </c>
      <c r="D95" s="5">
        <v>0.11206310275790902</v>
      </c>
    </row>
    <row r="96" spans="2:4" x14ac:dyDescent="0.2">
      <c r="B96" s="2">
        <f t="shared" si="4"/>
        <v>0.49999999999999767</v>
      </c>
      <c r="C96" s="5">
        <v>0.36268401899372926</v>
      </c>
      <c r="D96" s="5">
        <v>0.1103959654371459</v>
      </c>
    </row>
    <row r="97" spans="2:4" x14ac:dyDescent="0.2">
      <c r="B97" s="2">
        <f t="shared" si="4"/>
        <v>0.54999999999999771</v>
      </c>
      <c r="C97" s="5">
        <v>0.35453342480986172</v>
      </c>
      <c r="D97" s="5">
        <v>0.10872882811638278</v>
      </c>
    </row>
    <row r="98" spans="2:4" x14ac:dyDescent="0.2">
      <c r="B98" s="2">
        <f t="shared" si="4"/>
        <v>0.59999999999999776</v>
      </c>
      <c r="C98" s="5">
        <v>0.3466130333300203</v>
      </c>
      <c r="D98" s="5">
        <v>0.10706169079561964</v>
      </c>
    </row>
    <row r="99" spans="2:4" x14ac:dyDescent="0.2">
      <c r="B99" s="2">
        <f t="shared" si="4"/>
        <v>0.6499999999999978</v>
      </c>
      <c r="C99" s="5">
        <v>0.33893898320188476</v>
      </c>
      <c r="D99" s="5">
        <v>0.10539455347485652</v>
      </c>
    </row>
    <row r="100" spans="2:4" x14ac:dyDescent="0.2">
      <c r="B100" s="2">
        <f t="shared" si="4"/>
        <v>0.69999999999999785</v>
      </c>
      <c r="C100" s="5">
        <v>0.33152838141926699</v>
      </c>
      <c r="D100" s="5">
        <v>0.10372741615409339</v>
      </c>
    </row>
    <row r="101" spans="2:4" x14ac:dyDescent="0.2">
      <c r="B101" s="2">
        <f t="shared" si="4"/>
        <v>0.74999999999999789</v>
      </c>
      <c r="C101" s="5">
        <v>0.32439928318646499</v>
      </c>
      <c r="D101" s="5">
        <v>0.10206027883333027</v>
      </c>
    </row>
    <row r="102" spans="2:4" x14ac:dyDescent="0.2">
      <c r="B102" s="2">
        <f t="shared" si="4"/>
        <v>0.79999999999999793</v>
      </c>
      <c r="C102" s="5">
        <v>0.31757064736868768</v>
      </c>
      <c r="D102" s="5">
        <v>0.10039314151256713</v>
      </c>
    </row>
    <row r="103" spans="2:4" x14ac:dyDescent="0.2">
      <c r="B103" s="2">
        <f t="shared" si="4"/>
        <v>0.84999999999999798</v>
      </c>
      <c r="C103" s="5">
        <v>0.31106226241912449</v>
      </c>
      <c r="D103" s="5">
        <v>9.8726004191803995E-2</v>
      </c>
    </row>
    <row r="104" spans="2:4" x14ac:dyDescent="0.2">
      <c r="B104" s="2">
        <f t="shared" si="4"/>
        <v>0.89999999999999802</v>
      </c>
      <c r="C104" s="5">
        <v>0.30489463758043189</v>
      </c>
      <c r="D104" s="5">
        <v>9.7058866871040872E-2</v>
      </c>
    </row>
    <row r="105" spans="2:4" x14ac:dyDescent="0.2">
      <c r="B105" s="2">
        <f t="shared" si="4"/>
        <v>0.94999999999999807</v>
      </c>
      <c r="C105" s="5">
        <v>0.29908885442651212</v>
      </c>
      <c r="D105" s="5">
        <v>9.5391729550277748E-2</v>
      </c>
    </row>
    <row r="106" spans="2:4" x14ac:dyDescent="0.2">
      <c r="B106" s="2">
        <f t="shared" si="4"/>
        <v>0.99999999999999811</v>
      </c>
      <c r="C106" s="5">
        <v>0.29366637456795364</v>
      </c>
      <c r="D106" s="5">
        <v>9.3724592229514611E-2</v>
      </c>
    </row>
    <row r="107" spans="2:4" x14ac:dyDescent="0.2">
      <c r="B107" s="2">
        <f t="shared" si="4"/>
        <v>1.049999999999998</v>
      </c>
      <c r="C107" s="5">
        <v>0.28864880071545362</v>
      </c>
      <c r="D107" s="5">
        <v>9.2057454908751501E-2</v>
      </c>
    </row>
    <row r="108" spans="2:4" x14ac:dyDescent="0.2">
      <c r="B108" s="2">
        <f t="shared" si="4"/>
        <v>1.0999999999999981</v>
      </c>
      <c r="C108" s="5">
        <v>0.28405759037546507</v>
      </c>
      <c r="D108" s="5">
        <v>9.0390317587988378E-2</v>
      </c>
    </row>
    <row r="109" spans="2:4" x14ac:dyDescent="0.2">
      <c r="B109" s="2">
        <f t="shared" si="4"/>
        <v>1.1499999999999981</v>
      </c>
      <c r="C109" s="5">
        <v>0.27991372427629047</v>
      </c>
      <c r="D109" s="5">
        <v>8.8723180267225241E-2</v>
      </c>
    </row>
    <row r="110" spans="2:4" x14ac:dyDescent="0.2">
      <c r="B110" s="2">
        <f t="shared" si="4"/>
        <v>1.1999999999999982</v>
      </c>
      <c r="C110" s="5">
        <v>0.27623733512940019</v>
      </c>
      <c r="D110" s="5">
        <v>8.7056042946462117E-2</v>
      </c>
    </row>
    <row r="111" spans="2:4" x14ac:dyDescent="0.2">
      <c r="B111" s="2">
        <f t="shared" si="4"/>
        <v>1.2499999999999982</v>
      </c>
      <c r="C111" s="5">
        <v>0.27304730632881868</v>
      </c>
      <c r="D111" s="5">
        <v>8.538890562569898E-2</v>
      </c>
    </row>
    <row r="112" spans="2:4" x14ac:dyDescent="0.2">
      <c r="B112" s="2">
        <f t="shared" si="4"/>
        <v>1.2999999999999983</v>
      </c>
      <c r="C112" s="5">
        <v>0.27036085434159429</v>
      </c>
      <c r="D112" s="5">
        <v>8.3721768304935856E-2</v>
      </c>
    </row>
    <row r="113" spans="2:4" x14ac:dyDescent="0.2">
      <c r="B113" s="2">
        <f t="shared" si="4"/>
        <v>1.3499999999999983</v>
      </c>
      <c r="C113" s="5">
        <v>0.26819311236508581</v>
      </c>
      <c r="D113" s="5">
        <v>8.2054630984172705E-2</v>
      </c>
    </row>
    <row r="114" spans="2:4" x14ac:dyDescent="0.2">
      <c r="B114" s="2">
        <f t="shared" si="4"/>
        <v>1.3999999999999984</v>
      </c>
      <c r="C114" s="5">
        <v>0.26655673574811073</v>
      </c>
      <c r="D114" s="5">
        <v>8.0387493663409595E-2</v>
      </c>
    </row>
    <row r="115" spans="2:4" x14ac:dyDescent="0.2">
      <c r="B115" s="2">
        <f t="shared" si="4"/>
        <v>1.4499999999999984</v>
      </c>
      <c r="C115" s="5">
        <v>0.26546155111082759</v>
      </c>
      <c r="D115" s="5">
        <v>7.8720356342646458E-2</v>
      </c>
    </row>
    <row r="116" spans="2:4" x14ac:dyDescent="0.2">
      <c r="B116" s="2">
        <f t="shared" si="4"/>
        <v>1.4999999999999984</v>
      </c>
      <c r="C116" s="5">
        <v>0.26491427057919464</v>
      </c>
      <c r="D116" s="5">
        <v>7.7053219021883335E-2</v>
      </c>
    </row>
    <row r="117" spans="2:4" x14ac:dyDescent="0.2">
      <c r="B117" s="2">
        <f t="shared" si="4"/>
        <v>1.5499999999999985</v>
      </c>
      <c r="C117" s="5">
        <v>0.26491828983237203</v>
      </c>
      <c r="D117" s="5">
        <v>7.5386081701120225E-2</v>
      </c>
    </row>
    <row r="118" spans="2:4" x14ac:dyDescent="0.2">
      <c r="B118" s="2">
        <f t="shared" si="4"/>
        <v>1.5999999999999985</v>
      </c>
      <c r="C118" s="5">
        <v>0.26547358383043007</v>
      </c>
      <c r="D118" s="5">
        <v>7.3718944380357074E-2</v>
      </c>
    </row>
    <row r="119" spans="2:4" x14ac:dyDescent="0.2">
      <c r="B119" s="2">
        <f t="shared" si="4"/>
        <v>1.6499999999999986</v>
      </c>
      <c r="C119" s="5">
        <v>0.26657670758844992</v>
      </c>
      <c r="D119" s="5">
        <v>7.2051807059593964E-2</v>
      </c>
    </row>
    <row r="120" spans="2:4" x14ac:dyDescent="0.2">
      <c r="B120" s="2">
        <f t="shared" si="4"/>
        <v>1.6999999999999986</v>
      </c>
      <c r="C120" s="5">
        <v>0.26822090194182346</v>
      </c>
      <c r="D120" s="5">
        <v>7.0384669738830827E-2</v>
      </c>
    </row>
    <row r="121" spans="2:4" x14ac:dyDescent="0.2">
      <c r="B121" s="2">
        <f t="shared" si="4"/>
        <v>1.7499999999999987</v>
      </c>
      <c r="C121" s="5">
        <v>0.27039629683324884</v>
      </c>
      <c r="D121" s="5">
        <v>6.8717532418067703E-2</v>
      </c>
    </row>
    <row r="122" spans="2:4" x14ac:dyDescent="0.2">
      <c r="B122" s="2">
        <f t="shared" si="4"/>
        <v>1.7999999999999987</v>
      </c>
      <c r="C122" s="5">
        <v>0.27309019817021152</v>
      </c>
      <c r="D122" s="5">
        <v>6.7050395097304566E-2</v>
      </c>
    </row>
    <row r="123" spans="2:4" x14ac:dyDescent="0.2">
      <c r="B123" s="2">
        <f t="shared" si="4"/>
        <v>1.8499999999999988</v>
      </c>
      <c r="C123" s="5">
        <v>0.27628743949918916</v>
      </c>
      <c r="D123" s="5">
        <v>6.5383257776541442E-2</v>
      </c>
    </row>
    <row r="124" spans="2:4" x14ac:dyDescent="0.2">
      <c r="B124" s="2">
        <f t="shared" si="4"/>
        <v>1.8999999999999988</v>
      </c>
      <c r="C124" s="5">
        <v>0.27997077705762891</v>
      </c>
      <c r="D124" s="5">
        <v>6.3716120455778305E-2</v>
      </c>
    </row>
    <row r="125" spans="2:4" x14ac:dyDescent="0.2">
      <c r="B125" s="2">
        <f t="shared" si="4"/>
        <v>1.9499999999999988</v>
      </c>
      <c r="C125" s="5">
        <v>0.28412130627664789</v>
      </c>
      <c r="D125" s="5">
        <v>6.2048983135015195E-2</v>
      </c>
    </row>
    <row r="126" spans="2:4" x14ac:dyDescent="0.2">
      <c r="B126" s="2">
        <f t="shared" si="4"/>
        <v>1.9999999999999989</v>
      </c>
      <c r="C126" s="5">
        <v>0.2887188792706617</v>
      </c>
      <c r="D126" s="5">
        <v>6.0381845814252044E-2</v>
      </c>
    </row>
    <row r="127" spans="2:4" x14ac:dyDescent="0.2">
      <c r="B127" s="2">
        <f t="shared" si="4"/>
        <v>2.0499999999999989</v>
      </c>
      <c r="C127" s="5">
        <v>0.29374250578887412</v>
      </c>
      <c r="D127" s="5">
        <v>5.8714708493488921E-2</v>
      </c>
    </row>
    <row r="128" spans="2:4" x14ac:dyDescent="0.2">
      <c r="B128" s="2">
        <f t="shared" si="4"/>
        <v>2.0999999999999988</v>
      </c>
      <c r="C128" s="5">
        <v>0.29917072393502758</v>
      </c>
      <c r="D128" s="5">
        <v>5.7047571172725825E-2</v>
      </c>
    </row>
    <row r="129" spans="2:4" x14ac:dyDescent="0.2">
      <c r="B129" s="2">
        <f t="shared" si="4"/>
        <v>2.1499999999999986</v>
      </c>
      <c r="C129" s="5">
        <v>0.30498193111289718</v>
      </c>
      <c r="D129" s="5">
        <v>5.5380433851962674E-2</v>
      </c>
    </row>
    <row r="130" spans="2:4" x14ac:dyDescent="0.2">
      <c r="B130" s="2">
        <f t="shared" si="4"/>
        <v>2.1999999999999984</v>
      </c>
      <c r="C130" s="5">
        <v>0.31115466964800187</v>
      </c>
      <c r="D130" s="5">
        <v>5.371329653119955E-2</v>
      </c>
    </row>
    <row r="131" spans="2:4" x14ac:dyDescent="0.2">
      <c r="B131" s="2">
        <f t="shared" si="4"/>
        <v>2.2499999999999982</v>
      </c>
      <c r="C131" s="5">
        <v>0.31766786503362932</v>
      </c>
      <c r="D131" s="5">
        <v>5.2046159210436455E-2</v>
      </c>
    </row>
    <row r="132" spans="2:4" x14ac:dyDescent="0.2">
      <c r="B132" s="2">
        <f t="shared" si="4"/>
        <v>2.299999999999998</v>
      </c>
      <c r="C132" s="5">
        <v>0.32450101756258487</v>
      </c>
      <c r="D132" s="5">
        <v>5.0379021889673331E-2</v>
      </c>
    </row>
    <row r="133" spans="2:4" x14ac:dyDescent="0.2">
      <c r="B133" s="2">
        <f t="shared" si="4"/>
        <v>2.3499999999999979</v>
      </c>
      <c r="C133" s="5">
        <v>0.33163435017522463</v>
      </c>
      <c r="D133" s="5">
        <v>4.871188456891018E-2</v>
      </c>
    </row>
    <row r="134" spans="2:4" x14ac:dyDescent="0.2">
      <c r="B134" s="2">
        <f t="shared" si="4"/>
        <v>2.3999999999999977</v>
      </c>
      <c r="C134" s="5">
        <v>0.33904891671556187</v>
      </c>
      <c r="D134" s="5">
        <v>4.7044747248147084E-2</v>
      </c>
    </row>
    <row r="135" spans="2:4" x14ac:dyDescent="0.2">
      <c r="B135" s="2">
        <f t="shared" si="4"/>
        <v>2.4499999999999975</v>
      </c>
      <c r="C135" s="5">
        <v>0.34672667553666853</v>
      </c>
      <c r="D135" s="5">
        <v>4.5377609927383961E-2</v>
      </c>
    </row>
    <row r="136" spans="2:4" x14ac:dyDescent="0.2">
      <c r="B136" s="2">
        <f t="shared" si="4"/>
        <v>2.4999999999999973</v>
      </c>
      <c r="C136" s="5">
        <v>0.3546505336585386</v>
      </c>
      <c r="D136" s="5">
        <v>4.3710472606620837E-2</v>
      </c>
    </row>
    <row r="137" spans="2:4" x14ac:dyDescent="0.2">
      <c r="B137" s="2">
        <f t="shared" si="4"/>
        <v>2.5499999999999972</v>
      </c>
      <c r="C137" s="5">
        <v>0.36280436658442233</v>
      </c>
      <c r="D137" s="5">
        <v>4.2043335285857741E-2</v>
      </c>
    </row>
    <row r="138" spans="2:4" x14ac:dyDescent="0.2">
      <c r="B138" s="2">
        <f t="shared" si="4"/>
        <v>2.599999999999997</v>
      </c>
      <c r="C138" s="5">
        <v>0.37117301854259749</v>
      </c>
      <c r="D138" s="5">
        <v>4.037619796509459E-2</v>
      </c>
    </row>
    <row r="139" spans="2:4" x14ac:dyDescent="0.2">
      <c r="B139" s="2">
        <f t="shared" si="4"/>
        <v>2.6499999999999968</v>
      </c>
      <c r="C139" s="5">
        <v>0.37974228743739463</v>
      </c>
      <c r="D139" s="5">
        <v>3.8709060644331467E-2</v>
      </c>
    </row>
    <row r="140" spans="2:4" x14ac:dyDescent="0.2">
      <c r="B140" s="2">
        <f t="shared" si="4"/>
        <v>2.6999999999999966</v>
      </c>
      <c r="C140" s="5">
        <v>0.38849889824194861</v>
      </c>
      <c r="D140" s="5">
        <v>3.7041923323568315E-2</v>
      </c>
    </row>
    <row r="141" spans="2:4" x14ac:dyDescent="0.2">
      <c r="B141" s="2">
        <f t="shared" si="4"/>
        <v>2.7499999999999964</v>
      </c>
      <c r="C141" s="5">
        <v>0.39743046800049547</v>
      </c>
      <c r="D141" s="5">
        <v>3.5374786002805247E-2</v>
      </c>
    </row>
    <row r="142" spans="2:4" x14ac:dyDescent="0.2">
      <c r="B142" s="2">
        <f t="shared" si="4"/>
        <v>2.7999999999999963</v>
      </c>
      <c r="C142" s="5">
        <v>0.40652546506687548</v>
      </c>
      <c r="D142" s="5">
        <v>3.3707648682042096E-2</v>
      </c>
    </row>
    <row r="143" spans="2:4" x14ac:dyDescent="0.2">
      <c r="B143" s="2">
        <f t="shared" si="4"/>
        <v>2.8499999999999961</v>
      </c>
      <c r="C143" s="5">
        <v>0.41577316471057629</v>
      </c>
      <c r="D143" s="5">
        <v>3.2040511361279E-2</v>
      </c>
    </row>
    <row r="144" spans="2:4" x14ac:dyDescent="0.2">
      <c r="B144" s="2">
        <f t="shared" si="4"/>
        <v>2.8999999999999959</v>
      </c>
      <c r="C144" s="5">
        <v>0.42516360278358517</v>
      </c>
      <c r="D144" s="5">
        <v>3.0373374040515877E-2</v>
      </c>
    </row>
    <row r="145" spans="2:4" x14ac:dyDescent="0.2">
      <c r="B145" s="2">
        <f t="shared" si="4"/>
        <v>2.9499999999999957</v>
      </c>
      <c r="C145" s="5">
        <v>0.43468752876434208</v>
      </c>
      <c r="D145" s="5">
        <v>2.8706236719752726E-2</v>
      </c>
    </row>
    <row r="146" spans="2:4" x14ac:dyDescent="0.2">
      <c r="B146" s="2">
        <f t="shared" si="4"/>
        <v>2.9999999999999956</v>
      </c>
      <c r="C146" s="5">
        <v>0.44433635917786896</v>
      </c>
      <c r="D146" s="5">
        <v>2.703909939898963E-2</v>
      </c>
    </row>
    <row r="147" spans="2:4" x14ac:dyDescent="0.2">
      <c r="B147" s="2"/>
      <c r="C147" s="5">
        <f>SQRT(10%)</f>
        <v>0.31622776601683794</v>
      </c>
      <c r="D147" s="5">
        <f>G2</f>
        <v>0.06</v>
      </c>
    </row>
    <row r="148" spans="2:4" x14ac:dyDescent="0.2">
      <c r="B148" s="2"/>
      <c r="C148" s="5">
        <f>SQRT(30%)</f>
        <v>0.54772255750516607</v>
      </c>
      <c r="D148" s="5">
        <f t="shared" ref="D148:D150" si="5">G3</f>
        <v>0.08</v>
      </c>
    </row>
    <row r="149" spans="2:4" x14ac:dyDescent="0.2">
      <c r="B149" s="2"/>
      <c r="C149" s="5">
        <f>SQRT(40%)</f>
        <v>0.63245553203367588</v>
      </c>
      <c r="D149" s="5">
        <f t="shared" si="5"/>
        <v>0.1</v>
      </c>
    </row>
    <row r="150" spans="2:4" x14ac:dyDescent="0.2">
      <c r="B150" s="2"/>
      <c r="C150" s="5">
        <f>SQRT(50%)</f>
        <v>0.70710678118654757</v>
      </c>
      <c r="D150" s="5">
        <f t="shared" si="5"/>
        <v>0.15</v>
      </c>
    </row>
    <row r="151" spans="2:4" x14ac:dyDescent="0.2">
      <c r="B151" s="2"/>
    </row>
    <row r="152" spans="2:4" x14ac:dyDescent="0.2">
      <c r="B152" s="2"/>
    </row>
    <row r="153" spans="2:4" x14ac:dyDescent="0.2">
      <c r="B153" s="2"/>
    </row>
    <row r="154" spans="2:4" x14ac:dyDescent="0.2">
      <c r="B154" s="2"/>
    </row>
    <row r="155" spans="2:4" x14ac:dyDescent="0.2">
      <c r="B155" s="2"/>
    </row>
    <row r="156" spans="2:4" x14ac:dyDescent="0.2">
      <c r="B156" s="2"/>
    </row>
    <row r="157" spans="2:4" x14ac:dyDescent="0.2">
      <c r="B157" s="2"/>
    </row>
    <row r="158" spans="2:4" x14ac:dyDescent="0.2">
      <c r="B158" s="2"/>
    </row>
    <row r="159" spans="2:4" x14ac:dyDescent="0.2">
      <c r="B159" s="2"/>
    </row>
    <row r="160" spans="2:4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27623-4B7C-9C44-9E01-4034A5BEDFB8}">
  <sheetPr codeName="Sheet6"/>
  <dimension ref="A1:M145"/>
  <sheetViews>
    <sheetView tabSelected="1" zoomScale="132" workbookViewId="0">
      <selection activeCell="F14" sqref="F14"/>
    </sheetView>
  </sheetViews>
  <sheetFormatPr baseColWidth="10" defaultRowHeight="16" x14ac:dyDescent="0.2"/>
  <cols>
    <col min="2" max="2" width="11.6640625" bestFit="1" customWidth="1"/>
  </cols>
  <sheetData>
    <row r="1" spans="1:13" x14ac:dyDescent="0.2">
      <c r="A1" s="18" t="s">
        <v>27</v>
      </c>
      <c r="B1" s="18" t="s">
        <v>28</v>
      </c>
      <c r="C1" s="18" t="s">
        <v>29</v>
      </c>
      <c r="D1" s="18" t="s">
        <v>30</v>
      </c>
      <c r="E1" s="18" t="s">
        <v>31</v>
      </c>
      <c r="G1" s="18" t="s">
        <v>32</v>
      </c>
      <c r="J1" s="18" t="s">
        <v>60</v>
      </c>
      <c r="K1" s="24">
        <v>0</v>
      </c>
      <c r="L1" s="24">
        <v>0.05</v>
      </c>
      <c r="M1" s="19">
        <v>0.06</v>
      </c>
    </row>
    <row r="2" spans="1:13" x14ac:dyDescent="0.2">
      <c r="A2" s="18" t="s">
        <v>28</v>
      </c>
      <c r="B2" s="26">
        <v>0.1</v>
      </c>
      <c r="C2" s="26">
        <v>0.01</v>
      </c>
      <c r="D2" s="26">
        <v>0.03</v>
      </c>
      <c r="E2" s="26">
        <v>0.05</v>
      </c>
      <c r="G2" s="19">
        <v>0.06</v>
      </c>
    </row>
    <row r="3" spans="1:13" x14ac:dyDescent="0.2">
      <c r="A3" s="18" t="s">
        <v>29</v>
      </c>
      <c r="B3" s="26">
        <v>0.01</v>
      </c>
      <c r="C3" s="26">
        <v>0.3</v>
      </c>
      <c r="D3" s="26">
        <v>0.06</v>
      </c>
      <c r="E3" s="26">
        <v>-0.04</v>
      </c>
      <c r="G3" s="19">
        <v>0.08</v>
      </c>
    </row>
    <row r="4" spans="1:13" x14ac:dyDescent="0.2">
      <c r="A4" s="18" t="s">
        <v>30</v>
      </c>
      <c r="B4" s="26">
        <v>0.03</v>
      </c>
      <c r="C4" s="26">
        <v>0.06</v>
      </c>
      <c r="D4" s="26">
        <v>0.4</v>
      </c>
      <c r="E4" s="26">
        <v>0.02</v>
      </c>
      <c r="G4" s="19">
        <v>0.1</v>
      </c>
    </row>
    <row r="5" spans="1:13" x14ac:dyDescent="0.2">
      <c r="A5" s="18" t="s">
        <v>31</v>
      </c>
      <c r="B5" s="26">
        <v>0.05</v>
      </c>
      <c r="C5" s="26">
        <v>-0.04</v>
      </c>
      <c r="D5" s="26">
        <v>0.02</v>
      </c>
      <c r="E5" s="26">
        <v>0.5</v>
      </c>
      <c r="G5" s="19">
        <v>0.15</v>
      </c>
    </row>
    <row r="8" spans="1:13" x14ac:dyDescent="0.2">
      <c r="B8" s="32" t="s">
        <v>61</v>
      </c>
      <c r="C8" s="33" t="s">
        <v>68</v>
      </c>
      <c r="D8" s="32" t="s">
        <v>62</v>
      </c>
    </row>
    <row r="9" spans="1:13" x14ac:dyDescent="0.2">
      <c r="B9" s="31">
        <f t="array" ref="B9:B12">MMULT(MINVERSE($B$2:$E$5),$G$2:$G$5-K1)/SUM(MMULT(MINVERSE($B$2:$E$5),$G$2:$G$5-K1))</f>
        <v>0.35527263160809713</v>
      </c>
      <c r="C9" s="31">
        <f t="array" ref="C9:C12">MMULT(MINVERSE($B$2:$E$5),$G$2:$G$5-M1)/SUM(MMULT(MINVERSE($B$2:$E$5),$G$2:$G$5-M1))</f>
        <v>-0.57240863571335665</v>
      </c>
      <c r="D9" s="31">
        <f t="array" ref="D9:D12">MMULT(MINVERSE($B$2:$E$5),$G$2:$G$5-L1)/SUM(MMULT(MINVERSE($B$2:$E$5),$G$2:$G$5-L1))</f>
        <v>-0.12308868501529065</v>
      </c>
    </row>
    <row r="10" spans="1:13" x14ac:dyDescent="0.2">
      <c r="B10" s="31">
        <v>0.23622995763063889</v>
      </c>
      <c r="C10" s="31">
        <v>0.34393289114319164</v>
      </c>
      <c r="D10" s="31">
        <v>0.2917672621921778</v>
      </c>
      <c r="F10" t="s">
        <v>63</v>
      </c>
    </row>
    <row r="11" spans="1:13" x14ac:dyDescent="0.2">
      <c r="B11" s="31">
        <v>0.15529547783223951</v>
      </c>
      <c r="C11" s="31">
        <v>0.38111262843022503</v>
      </c>
      <c r="D11" s="31">
        <v>0.27173869306293263</v>
      </c>
    </row>
    <row r="12" spans="1:13" x14ac:dyDescent="0.2">
      <c r="B12" s="31">
        <v>0.25320193292902443</v>
      </c>
      <c r="C12" s="31">
        <v>0.84736311613994009</v>
      </c>
      <c r="D12" s="31">
        <v>0.55958272976018031</v>
      </c>
    </row>
    <row r="14" spans="1:13" x14ac:dyDescent="0.2">
      <c r="B14" s="30" t="s">
        <v>36</v>
      </c>
      <c r="C14" s="27" t="s">
        <v>66</v>
      </c>
      <c r="D14" s="30" t="s">
        <v>37</v>
      </c>
    </row>
    <row r="15" spans="1:13" x14ac:dyDescent="0.2">
      <c r="A15" s="17" t="s">
        <v>54</v>
      </c>
      <c r="B15" s="12" cm="1">
        <f t="array" ref="B15">MMULT(TRANSPOSE($B$9:$B$12),$G$2:$G$5)</f>
        <v>9.3724592229514556E-2</v>
      </c>
      <c r="C15" s="12" cm="1">
        <f t="array" ref="C15">MMULT(TRANSPOSE($C$9:$C$12),$G$2:$G$5)</f>
        <v>0.15838584341266745</v>
      </c>
      <c r="D15" s="12" cm="1">
        <f t="array" ref="D15">MMULT(TRANSPOSE($D$9:$D$12),$G$2:$G$5)</f>
        <v>0.12706733864477709</v>
      </c>
    </row>
    <row r="16" spans="1:13" x14ac:dyDescent="0.2">
      <c r="A16" s="17" t="s">
        <v>55</v>
      </c>
      <c r="B16" s="12" cm="1">
        <f t="array" ref="B16">MMULT(MMULT(TRANSPOSE($B$9:$B$12),$B$2:$E$5),$B$9:$B$12)</f>
        <v>8.6239939551885511E-2</v>
      </c>
      <c r="C16" s="12" cm="1">
        <f t="array" ref="C16">MMULT(MMULT(TRANSPOSE($C$9:$C$12),$B$2:$E$5),$C$9:$C$12)</f>
        <v>0.42516465282007465</v>
      </c>
      <c r="D16" s="12" cm="1">
        <f t="array" ref="D16">MMULT(MMULT(TRANSPOSE($D$9:$D$12),$B$2:$E$5),$D$9:$D$12)</f>
        <v>0.20607884500118057</v>
      </c>
    </row>
    <row r="17" spans="1:4" x14ac:dyDescent="0.2">
      <c r="A17" s="17" t="s">
        <v>25</v>
      </c>
      <c r="B17" s="12">
        <f>SQRT(B16)</f>
        <v>0.29366637456795341</v>
      </c>
      <c r="C17" s="12">
        <f>SQRT(C16)</f>
        <v>0.65204651123986135</v>
      </c>
      <c r="D17" s="12">
        <f>SQRT(D16)</f>
        <v>0.45395907855354162</v>
      </c>
    </row>
    <row r="18" spans="1:4" x14ac:dyDescent="0.2">
      <c r="A18" s="17" t="s">
        <v>56</v>
      </c>
      <c r="B18" s="12" cm="1">
        <f t="array" ref="B18">MMULT(MMULT(TRANSPOSE($B$9:$B$12),$B$2:$E$5),$C$9:$C$12)</f>
        <v>0.14573747654547242</v>
      </c>
      <c r="C18" s="12" cm="1">
        <f t="array" ref="C18">MMULT(MMULT(TRANSPOSE($C$9:$C$12),$B$2:$E$5),$B$9:$B$12)</f>
        <v>0.14573747654547242</v>
      </c>
      <c r="D18" s="12" cm="1">
        <f t="array" ref="D18">MMULT(MMULT(TRANSPOSE($D$9:$D$12),$B$2:$E$5),$B$9:$B$12)</f>
        <v>0.11692000299035392</v>
      </c>
    </row>
    <row r="19" spans="1:4" x14ac:dyDescent="0.2">
      <c r="A19" s="17" t="s">
        <v>64</v>
      </c>
      <c r="B19">
        <v>0.3</v>
      </c>
    </row>
    <row r="20" spans="1:4" x14ac:dyDescent="0.2">
      <c r="A20" s="17" t="s">
        <v>3</v>
      </c>
      <c r="B20" s="12">
        <f>SQRT(B19^2*B16+(1-B19)^2*C16+2*B19*(1-B19)*C18)</f>
        <v>0.52659473467801088</v>
      </c>
    </row>
    <row r="21" spans="1:4" x14ac:dyDescent="0.2">
      <c r="A21" s="17" t="s">
        <v>65</v>
      </c>
      <c r="B21" s="12">
        <f>B19*B15+(1-B19)*C15</f>
        <v>0.13898746805772158</v>
      </c>
    </row>
    <row r="22" spans="1:4" x14ac:dyDescent="0.2">
      <c r="C22" s="5"/>
      <c r="D22" s="12"/>
    </row>
    <row r="23" spans="1:4" x14ac:dyDescent="0.2">
      <c r="B23" s="1"/>
      <c r="C23" s="5">
        <f>B20</f>
        <v>0.52659473467801088</v>
      </c>
      <c r="D23" s="5">
        <f>B21</f>
        <v>0.13898746805772158</v>
      </c>
    </row>
    <row r="24" spans="1:4" x14ac:dyDescent="0.2">
      <c r="B24" s="2">
        <v>-3</v>
      </c>
      <c r="C24" s="5">
        <f t="dataTable" ref="C24:D144" dt2D="0" dtr="0" r1="B19"/>
        <v>2.0201718897155327</v>
      </c>
      <c r="D24" s="5">
        <v>0.35236959696212616</v>
      </c>
    </row>
    <row r="25" spans="1:4" x14ac:dyDescent="0.2">
      <c r="B25" s="2">
        <f>B24+5%</f>
        <v>-2.95</v>
      </c>
      <c r="C25" s="5">
        <v>1.9969283108522606</v>
      </c>
      <c r="D25" s="5">
        <v>0.34913653440296849</v>
      </c>
    </row>
    <row r="26" spans="1:4" x14ac:dyDescent="0.2">
      <c r="B26" s="2">
        <f t="shared" ref="B26:B89" si="0">B25+5%</f>
        <v>-2.9000000000000004</v>
      </c>
      <c r="C26" s="5">
        <v>1.9736895757859458</v>
      </c>
      <c r="D26" s="5">
        <v>0.34590347184381087</v>
      </c>
    </row>
    <row r="27" spans="1:4" x14ac:dyDescent="0.2">
      <c r="B27" s="2">
        <f t="shared" si="0"/>
        <v>-2.8500000000000005</v>
      </c>
      <c r="C27" s="5">
        <v>1.9504558576510655</v>
      </c>
      <c r="D27" s="5">
        <v>0.3426704092846532</v>
      </c>
    </row>
    <row r="28" spans="1:4" x14ac:dyDescent="0.2">
      <c r="B28" s="2">
        <f t="shared" si="0"/>
        <v>-2.8000000000000007</v>
      </c>
      <c r="C28" s="5">
        <v>1.9272273378927065</v>
      </c>
      <c r="D28" s="5">
        <v>0.33943734672549564</v>
      </c>
    </row>
    <row r="29" spans="1:4" x14ac:dyDescent="0.2">
      <c r="B29" s="2">
        <f t="shared" si="0"/>
        <v>-2.7500000000000009</v>
      </c>
      <c r="C29" s="5">
        <v>1.9040042067687422</v>
      </c>
      <c r="D29" s="5">
        <v>0.33620428416633802</v>
      </c>
    </row>
    <row r="30" spans="1:4" x14ac:dyDescent="0.2">
      <c r="B30" s="2">
        <f t="shared" si="0"/>
        <v>-2.7000000000000011</v>
      </c>
      <c r="C30" s="5">
        <v>1.8807866638886852</v>
      </c>
      <c r="D30" s="5">
        <v>0.33297122160718035</v>
      </c>
    </row>
    <row r="31" spans="1:4" x14ac:dyDescent="0.2">
      <c r="B31" s="2">
        <f t="shared" si="0"/>
        <v>-2.6500000000000012</v>
      </c>
      <c r="C31" s="5">
        <v>1.857574918792348</v>
      </c>
      <c r="D31" s="5">
        <v>0.32973815904802273</v>
      </c>
    </row>
    <row r="32" spans="1:4" x14ac:dyDescent="0.2">
      <c r="B32" s="2">
        <f t="shared" si="0"/>
        <v>-2.6000000000000014</v>
      </c>
      <c r="C32" s="5">
        <v>1.8343691915717708</v>
      </c>
      <c r="D32" s="5">
        <v>0.32650509648886505</v>
      </c>
    </row>
    <row r="33" spans="2:4" x14ac:dyDescent="0.2">
      <c r="B33" s="2">
        <f t="shared" si="0"/>
        <v>-2.5500000000000016</v>
      </c>
      <c r="C33" s="5">
        <v>1.8111697135402167</v>
      </c>
      <c r="D33" s="5">
        <v>0.32327203392970738</v>
      </c>
    </row>
    <row r="34" spans="2:4" x14ac:dyDescent="0.2">
      <c r="B34" s="2">
        <f t="shared" si="0"/>
        <v>-2.5000000000000018</v>
      </c>
      <c r="C34" s="5">
        <v>1.7879767279524179</v>
      </c>
      <c r="D34" s="5">
        <v>0.32003897137054982</v>
      </c>
    </row>
    <row r="35" spans="2:4" x14ac:dyDescent="0.2">
      <c r="B35" s="2">
        <f t="shared" si="0"/>
        <v>-2.450000000000002</v>
      </c>
      <c r="C35" s="5">
        <v>1.7647904907806828</v>
      </c>
      <c r="D35" s="5">
        <v>0.3168059088113922</v>
      </c>
    </row>
    <row r="36" spans="2:4" x14ac:dyDescent="0.2">
      <c r="B36" s="2">
        <f t="shared" si="0"/>
        <v>-2.4000000000000021</v>
      </c>
      <c r="C36" s="5">
        <v>1.7416112715519549</v>
      </c>
      <c r="D36" s="5">
        <v>0.31357284625223458</v>
      </c>
    </row>
    <row r="37" spans="2:4" x14ac:dyDescent="0.2">
      <c r="B37" s="2">
        <f t="shared" si="0"/>
        <v>-2.3500000000000023</v>
      </c>
      <c r="C37" s="5">
        <v>1.7184393542514429</v>
      </c>
      <c r="D37" s="5">
        <v>0.31033978369307691</v>
      </c>
    </row>
    <row r="38" spans="2:4" x14ac:dyDescent="0.2">
      <c r="B38" s="2">
        <f t="shared" si="0"/>
        <v>-2.3000000000000025</v>
      </c>
      <c r="C38" s="5">
        <v>1.6952750382990425</v>
      </c>
      <c r="D38" s="5">
        <v>0.30710672113391924</v>
      </c>
    </row>
    <row r="39" spans="2:4" x14ac:dyDescent="0.2">
      <c r="B39" s="2">
        <f t="shared" si="0"/>
        <v>-2.2500000000000027</v>
      </c>
      <c r="C39" s="5">
        <v>1.6721186396054344</v>
      </c>
      <c r="D39" s="5">
        <v>0.30387365857476156</v>
      </c>
    </row>
    <row r="40" spans="2:4" x14ac:dyDescent="0.2">
      <c r="B40" s="2">
        <f t="shared" si="0"/>
        <v>-2.2000000000000028</v>
      </c>
      <c r="C40" s="5">
        <v>1.6489704917154955</v>
      </c>
      <c r="D40" s="5">
        <v>0.30064059601560406</v>
      </c>
    </row>
    <row r="41" spans="2:4" x14ac:dyDescent="0.2">
      <c r="B41" s="2">
        <f t="shared" si="0"/>
        <v>-2.150000000000003</v>
      </c>
      <c r="C41" s="5">
        <v>1.6258309470474974</v>
      </c>
      <c r="D41" s="5">
        <v>0.29740753345644644</v>
      </c>
    </row>
    <row r="42" spans="2:4" x14ac:dyDescent="0.2">
      <c r="B42" s="2">
        <f t="shared" si="0"/>
        <v>-2.1000000000000032</v>
      </c>
      <c r="C42" s="5">
        <v>1.6027003782375189</v>
      </c>
      <c r="D42" s="5">
        <v>0.29417447089728876</v>
      </c>
    </row>
    <row r="43" spans="2:4" x14ac:dyDescent="0.2">
      <c r="B43" s="2">
        <f t="shared" si="0"/>
        <v>-2.0500000000000034</v>
      </c>
      <c r="C43" s="5">
        <v>1.5795791795995588</v>
      </c>
      <c r="D43" s="5">
        <v>0.29094140833813109</v>
      </c>
    </row>
    <row r="44" spans="2:4" x14ac:dyDescent="0.2">
      <c r="B44" s="2">
        <f t="shared" si="0"/>
        <v>-2.0000000000000036</v>
      </c>
      <c r="C44" s="5">
        <v>1.5564677687130402</v>
      </c>
      <c r="D44" s="5">
        <v>0.28770834577897353</v>
      </c>
    </row>
    <row r="45" spans="2:4" x14ac:dyDescent="0.2">
      <c r="B45" s="2">
        <f t="shared" si="0"/>
        <v>-1.9500000000000035</v>
      </c>
      <c r="C45" s="5">
        <v>1.5333665881507559</v>
      </c>
      <c r="D45" s="5">
        <v>0.28447528321981586</v>
      </c>
    </row>
    <row r="46" spans="2:4" x14ac:dyDescent="0.2">
      <c r="B46" s="2">
        <f t="shared" si="0"/>
        <v>-1.9000000000000035</v>
      </c>
      <c r="C46" s="5">
        <v>1.5102761073618403</v>
      </c>
      <c r="D46" s="5">
        <v>0.28124222066065818</v>
      </c>
    </row>
    <row r="47" spans="2:4" x14ac:dyDescent="0.2">
      <c r="B47" s="2">
        <f t="shared" si="0"/>
        <v>-1.8500000000000034</v>
      </c>
      <c r="C47" s="5">
        <v>1.487196824726096</v>
      </c>
      <c r="D47" s="5">
        <v>0.27800915810150051</v>
      </c>
    </row>
    <row r="48" spans="2:4" x14ac:dyDescent="0.2">
      <c r="B48" s="2">
        <f t="shared" si="0"/>
        <v>-1.8000000000000034</v>
      </c>
      <c r="C48" s="5">
        <v>1.46412926979797</v>
      </c>
      <c r="D48" s="5">
        <v>0.27477609554234284</v>
      </c>
    </row>
    <row r="49" spans="2:4" x14ac:dyDescent="0.2">
      <c r="B49" s="2">
        <f t="shared" si="0"/>
        <v>-1.7500000000000033</v>
      </c>
      <c r="C49" s="5">
        <v>1.441074005760737</v>
      </c>
      <c r="D49" s="5">
        <v>0.27154303298318527</v>
      </c>
    </row>
    <row r="50" spans="2:4" x14ac:dyDescent="0.2">
      <c r="B50" s="2">
        <f t="shared" si="0"/>
        <v>-1.7000000000000033</v>
      </c>
      <c r="C50" s="5">
        <v>1.4180316321139881</v>
      </c>
      <c r="D50" s="5">
        <v>0.2683099704240276</v>
      </c>
    </row>
    <row r="51" spans="2:4" x14ac:dyDescent="0.2">
      <c r="B51" s="2">
        <f t="shared" si="0"/>
        <v>-1.6500000000000032</v>
      </c>
      <c r="C51" s="5">
        <v>1.3950027876204512</v>
      </c>
      <c r="D51" s="5">
        <v>0.26507690786486993</v>
      </c>
    </row>
    <row r="52" spans="2:4" x14ac:dyDescent="0.2">
      <c r="B52" s="2">
        <f t="shared" si="0"/>
        <v>-1.6000000000000032</v>
      </c>
      <c r="C52" s="5">
        <v>1.3719881535414964</v>
      </c>
      <c r="D52" s="5">
        <v>0.26184384530571225</v>
      </c>
    </row>
    <row r="53" spans="2:4" x14ac:dyDescent="0.2">
      <c r="B53" s="2">
        <f t="shared" si="0"/>
        <v>-1.5500000000000032</v>
      </c>
      <c r="C53" s="5">
        <v>1.3489884571944954</v>
      </c>
      <c r="D53" s="5">
        <v>0.25861078274655469</v>
      </c>
    </row>
    <row r="54" spans="2:4" x14ac:dyDescent="0.2">
      <c r="B54" s="2">
        <f t="shared" si="0"/>
        <v>-1.5000000000000031</v>
      </c>
      <c r="C54" s="5">
        <v>1.3260044758695839</v>
      </c>
      <c r="D54" s="5">
        <v>0.25537772018739702</v>
      </c>
    </row>
    <row r="55" spans="2:4" x14ac:dyDescent="0.2">
      <c r="B55" s="2">
        <f t="shared" si="0"/>
        <v>-1.4500000000000031</v>
      </c>
      <c r="C55" s="5">
        <v>1.3030370411483931</v>
      </c>
      <c r="D55" s="5">
        <v>0.25214465762823934</v>
      </c>
    </row>
    <row r="56" spans="2:4" x14ac:dyDescent="0.2">
      <c r="B56" s="2">
        <f t="shared" si="0"/>
        <v>-1.400000000000003</v>
      </c>
      <c r="C56" s="5">
        <v>1.2800870436731069</v>
      </c>
      <c r="D56" s="5">
        <v>0.2489115950690817</v>
      </c>
    </row>
    <row r="57" spans="2:4" x14ac:dyDescent="0.2">
      <c r="B57" s="2">
        <f t="shared" si="0"/>
        <v>-1.350000000000003</v>
      </c>
      <c r="C57" s="5">
        <v>1.2571554384208641</v>
      </c>
      <c r="D57" s="5">
        <v>0.24567853250992408</v>
      </c>
    </row>
    <row r="58" spans="2:4" x14ac:dyDescent="0.2">
      <c r="B58" s="2">
        <f t="shared" si="0"/>
        <v>-1.3000000000000029</v>
      </c>
      <c r="C58" s="5">
        <v>1.2342432505462444</v>
      </c>
      <c r="D58" s="5">
        <v>0.24244546995076638</v>
      </c>
    </row>
    <row r="59" spans="2:4" x14ac:dyDescent="0.2">
      <c r="B59" s="2">
        <f t="shared" si="0"/>
        <v>-1.2500000000000029</v>
      </c>
      <c r="C59" s="5">
        <v>1.2113515818634859</v>
      </c>
      <c r="D59" s="5">
        <v>0.23921240739160871</v>
      </c>
    </row>
    <row r="60" spans="2:4" x14ac:dyDescent="0.2">
      <c r="B60" s="2">
        <f t="shared" si="0"/>
        <v>-1.2000000000000028</v>
      </c>
      <c r="C60" s="5">
        <v>1.1884816180504372</v>
      </c>
      <c r="D60" s="5">
        <v>0.23597934483245114</v>
      </c>
    </row>
    <row r="61" spans="2:4" x14ac:dyDescent="0.2">
      <c r="B61" s="2">
        <f t="shared" si="0"/>
        <v>-1.1500000000000028</v>
      </c>
      <c r="C61" s="5">
        <v>1.1656346366682855</v>
      </c>
      <c r="D61" s="5">
        <v>0.2327462822732935</v>
      </c>
    </row>
    <row r="62" spans="2:4" x14ac:dyDescent="0.2">
      <c r="B62" s="2">
        <f t="shared" si="0"/>
        <v>-1.1000000000000028</v>
      </c>
      <c r="C62" s="5">
        <v>1.1428120161051121</v>
      </c>
      <c r="D62" s="5">
        <v>0.2295132197141358</v>
      </c>
    </row>
    <row r="63" spans="2:4" x14ac:dyDescent="0.2">
      <c r="B63" s="2">
        <f t="shared" si="0"/>
        <v>-1.0500000000000027</v>
      </c>
      <c r="C63" s="5">
        <v>1.1200152455676937</v>
      </c>
      <c r="D63" s="5">
        <v>0.22628015715497812</v>
      </c>
    </row>
    <row r="64" spans="2:4" x14ac:dyDescent="0.2">
      <c r="B64" s="2">
        <f t="shared" si="0"/>
        <v>-1.0000000000000027</v>
      </c>
      <c r="C64" s="5">
        <v>1.0972459362651097</v>
      </c>
      <c r="D64" s="5">
        <v>0.22304709459582056</v>
      </c>
    </row>
    <row r="65" spans="2:4" x14ac:dyDescent="0.2">
      <c r="B65" s="2">
        <f t="shared" si="0"/>
        <v>-0.95000000000000262</v>
      </c>
      <c r="C65" s="5">
        <v>1.0745058339501641</v>
      </c>
      <c r="D65" s="5">
        <v>0.21981403203666286</v>
      </c>
    </row>
    <row r="66" spans="2:4" x14ac:dyDescent="0.2">
      <c r="B66" s="2">
        <f t="shared" si="0"/>
        <v>-0.90000000000000258</v>
      </c>
      <c r="C66" s="5">
        <v>1.0517968330110068</v>
      </c>
      <c r="D66" s="5">
        <v>0.21658096947750521</v>
      </c>
    </row>
    <row r="67" spans="2:4" x14ac:dyDescent="0.2">
      <c r="B67" s="2">
        <f t="shared" si="0"/>
        <v>-0.85000000000000253</v>
      </c>
      <c r="C67" s="5">
        <v>1.0291209923363891</v>
      </c>
      <c r="D67" s="5">
        <v>0.2133479069183476</v>
      </c>
    </row>
    <row r="68" spans="2:4" x14ac:dyDescent="0.2">
      <c r="B68" s="2">
        <f t="shared" si="0"/>
        <v>-0.80000000000000249</v>
      </c>
      <c r="C68" s="5">
        <v>1.0064805532146612</v>
      </c>
      <c r="D68" s="5">
        <v>0.21011484435918992</v>
      </c>
    </row>
    <row r="69" spans="2:4" x14ac:dyDescent="0.2">
      <c r="B69" s="2">
        <f t="shared" si="0"/>
        <v>-0.75000000000000244</v>
      </c>
      <c r="C69" s="5">
        <v>0.98387795956996171</v>
      </c>
      <c r="D69" s="5">
        <v>0.20688178180003228</v>
      </c>
    </row>
    <row r="70" spans="2:4" x14ac:dyDescent="0.2">
      <c r="B70" s="2">
        <f t="shared" si="0"/>
        <v>-0.7000000000000024</v>
      </c>
      <c r="C70" s="5">
        <v>0.96131588089046849</v>
      </c>
      <c r="D70" s="5">
        <v>0.20364871924087463</v>
      </c>
    </row>
    <row r="71" spans="2:4" x14ac:dyDescent="0.2">
      <c r="B71" s="2">
        <f t="shared" si="0"/>
        <v>-0.65000000000000235</v>
      </c>
      <c r="C71" s="5">
        <v>0.9387972382646258</v>
      </c>
      <c r="D71" s="5">
        <v>0.20041565668171696</v>
      </c>
    </row>
    <row r="72" spans="2:4" x14ac:dyDescent="0.2">
      <c r="B72" s="2">
        <f t="shared" si="0"/>
        <v>-0.60000000000000231</v>
      </c>
      <c r="C72" s="5">
        <v>0.91632523401397425</v>
      </c>
      <c r="D72" s="5">
        <v>0.19718259412255934</v>
      </c>
    </row>
    <row r="73" spans="2:4" x14ac:dyDescent="0.2">
      <c r="B73" s="2">
        <f t="shared" si="0"/>
        <v>-0.55000000000000226</v>
      </c>
      <c r="C73" s="5">
        <v>0.89390338549792159</v>
      </c>
      <c r="D73" s="5">
        <v>0.19394953156340169</v>
      </c>
    </row>
    <row r="74" spans="2:4" x14ac:dyDescent="0.2">
      <c r="B74" s="2">
        <f t="shared" si="0"/>
        <v>-0.50000000000000222</v>
      </c>
      <c r="C74" s="5">
        <v>0.87153556376944963</v>
      </c>
      <c r="D74" s="5">
        <v>0.19071646900424405</v>
      </c>
    </row>
    <row r="75" spans="2:4" x14ac:dyDescent="0.2">
      <c r="B75" s="2">
        <f t="shared" si="0"/>
        <v>-0.45000000000000223</v>
      </c>
      <c r="C75" s="5">
        <v>0.84922603788486362</v>
      </c>
      <c r="D75" s="5">
        <v>0.1874834064450864</v>
      </c>
    </row>
    <row r="76" spans="2:4" x14ac:dyDescent="0.2">
      <c r="B76" s="2">
        <f t="shared" si="0"/>
        <v>-0.40000000000000224</v>
      </c>
      <c r="C76" s="5">
        <v>0.82697952581954559</v>
      </c>
      <c r="D76" s="5">
        <v>0.18425034388592876</v>
      </c>
    </row>
    <row r="77" spans="2:4" x14ac:dyDescent="0.2">
      <c r="B77" s="2">
        <f t="shared" si="0"/>
        <v>-0.35000000000000225</v>
      </c>
      <c r="C77" s="5">
        <v>0.80480125312043482</v>
      </c>
      <c r="D77" s="5">
        <v>0.18101728132677114</v>
      </c>
    </row>
    <row r="78" spans="2:4" x14ac:dyDescent="0.2">
      <c r="B78" s="2">
        <f t="shared" si="0"/>
        <v>-0.30000000000000226</v>
      </c>
      <c r="C78" s="5">
        <v>0.78269702064089197</v>
      </c>
      <c r="D78" s="5">
        <v>0.17778421876761347</v>
      </c>
    </row>
    <row r="79" spans="2:4" x14ac:dyDescent="0.2">
      <c r="B79" s="2">
        <f t="shared" si="0"/>
        <v>-0.25000000000000228</v>
      </c>
      <c r="C79" s="5">
        <v>0.76067328296216685</v>
      </c>
      <c r="D79" s="5">
        <v>0.17455115620845579</v>
      </c>
    </row>
    <row r="80" spans="2:4" x14ac:dyDescent="0.2">
      <c r="B80" s="2">
        <f t="shared" si="0"/>
        <v>-0.20000000000000229</v>
      </c>
      <c r="C80" s="5">
        <v>0.73873723941680225</v>
      </c>
      <c r="D80" s="5">
        <v>0.1713180936492982</v>
      </c>
    </row>
    <row r="81" spans="2:4" x14ac:dyDescent="0.2">
      <c r="B81" s="2">
        <f t="shared" si="0"/>
        <v>-0.1500000000000023</v>
      </c>
      <c r="C81" s="5">
        <v>0.71689694000342863</v>
      </c>
      <c r="D81" s="5">
        <v>0.16808503109014053</v>
      </c>
    </row>
    <row r="82" spans="2:4" x14ac:dyDescent="0.2">
      <c r="B82" s="2">
        <f t="shared" si="0"/>
        <v>-0.1000000000000023</v>
      </c>
      <c r="C82" s="5">
        <v>0.69516140893162837</v>
      </c>
      <c r="D82" s="5">
        <v>0.16485196853098288</v>
      </c>
    </row>
    <row r="83" spans="2:4" x14ac:dyDescent="0.2">
      <c r="B83" s="2">
        <f t="shared" si="0"/>
        <v>-5.0000000000002293E-2</v>
      </c>
      <c r="C83" s="5">
        <v>0.67354078907348935</v>
      </c>
      <c r="D83" s="5">
        <v>0.16161890597182524</v>
      </c>
    </row>
    <row r="84" spans="2:4" x14ac:dyDescent="0.2">
      <c r="B84" s="2">
        <f t="shared" si="0"/>
        <v>-2.2898349882893854E-15</v>
      </c>
      <c r="C84" s="5">
        <v>0.65204651123986235</v>
      </c>
      <c r="D84" s="5">
        <v>0.15838584341266759</v>
      </c>
    </row>
    <row r="85" spans="2:4" x14ac:dyDescent="0.2">
      <c r="B85" s="2">
        <f t="shared" si="0"/>
        <v>4.9999999999997713E-2</v>
      </c>
      <c r="C85" s="5">
        <v>0.63069149295897287</v>
      </c>
      <c r="D85" s="5">
        <v>0.15515278085350998</v>
      </c>
    </row>
    <row r="86" spans="2:4" x14ac:dyDescent="0.2">
      <c r="B86" s="2">
        <f t="shared" si="0"/>
        <v>9.9999999999997716E-2</v>
      </c>
      <c r="C86" s="5">
        <v>0.60949037232590109</v>
      </c>
      <c r="D86" s="5">
        <v>0.1519197182943523</v>
      </c>
    </row>
    <row r="87" spans="2:4" x14ac:dyDescent="0.2">
      <c r="B87" s="2">
        <f t="shared" si="0"/>
        <v>0.14999999999999772</v>
      </c>
      <c r="C87" s="5">
        <v>0.58845978352094541</v>
      </c>
      <c r="D87" s="5">
        <v>0.14868665573519466</v>
      </c>
    </row>
    <row r="88" spans="2:4" x14ac:dyDescent="0.2">
      <c r="B88" s="2">
        <f t="shared" si="0"/>
        <v>0.19999999999999774</v>
      </c>
      <c r="C88" s="5">
        <v>0.56761868175869223</v>
      </c>
      <c r="D88" s="5">
        <v>0.14545359317603704</v>
      </c>
    </row>
    <row r="89" spans="2:4" x14ac:dyDescent="0.2">
      <c r="B89" s="2">
        <f t="shared" si="0"/>
        <v>0.24999999999999772</v>
      </c>
      <c r="C89" s="5">
        <v>0.54698872670086895</v>
      </c>
      <c r="D89" s="5">
        <v>0.14222053061687936</v>
      </c>
    </row>
    <row r="90" spans="2:4" x14ac:dyDescent="0.2">
      <c r="B90" s="2">
        <f t="shared" ref="B90:B144" si="1">B89+5%</f>
        <v>0.29999999999999771</v>
      </c>
      <c r="C90" s="5">
        <v>0.52659473467801177</v>
      </c>
      <c r="D90" s="5">
        <v>0.13898746805772172</v>
      </c>
    </row>
    <row r="91" spans="2:4" x14ac:dyDescent="0.2">
      <c r="B91" s="2">
        <f t="shared" si="1"/>
        <v>0.3499999999999977</v>
      </c>
      <c r="C91" s="5">
        <v>0.50646521128284661</v>
      </c>
      <c r="D91" s="5">
        <v>0.1357544054985641</v>
      </c>
    </row>
    <row r="92" spans="2:4" x14ac:dyDescent="0.2">
      <c r="B92" s="2">
        <f t="shared" si="1"/>
        <v>0.39999999999999769</v>
      </c>
      <c r="C92" s="5">
        <v>0.48663297677547113</v>
      </c>
      <c r="D92" s="5">
        <v>0.13252134293940646</v>
      </c>
    </row>
    <row r="93" spans="2:4" x14ac:dyDescent="0.2">
      <c r="B93" s="2">
        <f t="shared" si="1"/>
        <v>0.44999999999999768</v>
      </c>
      <c r="C93" s="5">
        <v>0.46713589685158968</v>
      </c>
      <c r="D93" s="5">
        <v>0.12928828038024881</v>
      </c>
    </row>
    <row r="94" spans="2:4" x14ac:dyDescent="0.2">
      <c r="B94" s="2">
        <f t="shared" si="1"/>
        <v>0.49999999999999767</v>
      </c>
      <c r="C94" s="5">
        <v>0.44801772996805278</v>
      </c>
      <c r="D94" s="5">
        <v>0.12605521782109116</v>
      </c>
    </row>
    <row r="95" spans="2:4" x14ac:dyDescent="0.2">
      <c r="B95" s="2">
        <f t="shared" si="1"/>
        <v>0.54999999999999771</v>
      </c>
      <c r="C95" s="5">
        <v>0.42932909847868461</v>
      </c>
      <c r="D95" s="5">
        <v>0.1228221552619335</v>
      </c>
    </row>
    <row r="96" spans="2:4" x14ac:dyDescent="0.2">
      <c r="B96" s="2">
        <f t="shared" si="1"/>
        <v>0.59999999999999776</v>
      </c>
      <c r="C96" s="5">
        <v>0.41112858260125645</v>
      </c>
      <c r="D96" s="5">
        <v>0.11958909270277586</v>
      </c>
    </row>
    <row r="97" spans="2:4" x14ac:dyDescent="0.2">
      <c r="B97" s="2">
        <f t="shared" si="1"/>
        <v>0.6499999999999978</v>
      </c>
      <c r="C97" s="5">
        <v>0.3934839212208312</v>
      </c>
      <c r="D97" s="5">
        <v>0.11635603014361821</v>
      </c>
    </row>
    <row r="98" spans="2:4" x14ac:dyDescent="0.2">
      <c r="B98" s="2">
        <f t="shared" si="1"/>
        <v>0.69999999999999785</v>
      </c>
      <c r="C98" s="5">
        <v>0.37647327831245814</v>
      </c>
      <c r="D98" s="5">
        <v>0.11312296758446057</v>
      </c>
    </row>
    <row r="99" spans="2:4" x14ac:dyDescent="0.2">
      <c r="B99" s="2">
        <f t="shared" si="1"/>
        <v>0.74999999999999789</v>
      </c>
      <c r="C99" s="5">
        <v>0.36018649406070585</v>
      </c>
      <c r="D99" s="5">
        <v>0.10988990502530291</v>
      </c>
    </row>
    <row r="100" spans="2:4" x14ac:dyDescent="0.2">
      <c r="B100" s="2">
        <f t="shared" si="1"/>
        <v>0.79999999999999793</v>
      </c>
      <c r="C100" s="5">
        <v>0.34472618107791192</v>
      </c>
      <c r="D100" s="5">
        <v>0.10665684246614526</v>
      </c>
    </row>
    <row r="101" spans="2:4" x14ac:dyDescent="0.2">
      <c r="B101" s="2">
        <f t="shared" si="1"/>
        <v>0.84999999999999798</v>
      </c>
      <c r="C101" s="5">
        <v>0.33020844558215773</v>
      </c>
      <c r="D101" s="5">
        <v>0.10342377990698762</v>
      </c>
    </row>
    <row r="102" spans="2:4" x14ac:dyDescent="0.2">
      <c r="B102" s="2">
        <f t="shared" si="1"/>
        <v>0.89999999999999802</v>
      </c>
      <c r="C102" s="5">
        <v>0.31676291345959895</v>
      </c>
      <c r="D102" s="5">
        <v>0.10019071734782997</v>
      </c>
    </row>
    <row r="103" spans="2:4" x14ac:dyDescent="0.2">
      <c r="B103" s="2">
        <f t="shared" si="1"/>
        <v>0.94999999999999807</v>
      </c>
      <c r="C103" s="5">
        <v>0.30453163604040717</v>
      </c>
      <c r="D103" s="5">
        <v>9.6957654788672326E-2</v>
      </c>
    </row>
    <row r="104" spans="2:4" x14ac:dyDescent="0.2">
      <c r="B104" s="2">
        <f t="shared" si="1"/>
        <v>0.99999999999999811</v>
      </c>
      <c r="C104" s="5">
        <v>0.2936663745679538</v>
      </c>
      <c r="D104" s="5">
        <v>9.372459222951468E-2</v>
      </c>
    </row>
    <row r="105" spans="2:4" x14ac:dyDescent="0.2">
      <c r="B105" s="2">
        <f t="shared" si="1"/>
        <v>1.049999999999998</v>
      </c>
      <c r="C105" s="5">
        <v>0.28432377661871605</v>
      </c>
      <c r="D105" s="5">
        <v>9.0491529670357049E-2</v>
      </c>
    </row>
    <row r="106" spans="2:4" x14ac:dyDescent="0.2">
      <c r="B106" s="2">
        <f t="shared" si="1"/>
        <v>1.0999999999999981</v>
      </c>
      <c r="C106" s="5">
        <v>0.27665814382732062</v>
      </c>
      <c r="D106" s="5">
        <v>8.7258467111199389E-2</v>
      </c>
    </row>
    <row r="107" spans="2:4" x14ac:dyDescent="0.2">
      <c r="B107" s="2">
        <f t="shared" si="1"/>
        <v>1.1499999999999981</v>
      </c>
      <c r="C107" s="5">
        <v>0.27081191875106309</v>
      </c>
      <c r="D107" s="5">
        <v>8.4025404552041744E-2</v>
      </c>
    </row>
    <row r="108" spans="2:4" x14ac:dyDescent="0.2">
      <c r="B108" s="2">
        <f t="shared" si="1"/>
        <v>1.1999999999999982</v>
      </c>
      <c r="C108" s="5">
        <v>0.26690468397106004</v>
      </c>
      <c r="D108" s="5">
        <v>8.0792341992884098E-2</v>
      </c>
    </row>
    <row r="109" spans="2:4" x14ac:dyDescent="0.2">
      <c r="B109" s="2">
        <f t="shared" si="1"/>
        <v>1.2499999999999982</v>
      </c>
      <c r="C109" s="5">
        <v>0.26502221323910857</v>
      </c>
      <c r="D109" s="5">
        <v>7.7559279433726452E-2</v>
      </c>
    </row>
    <row r="110" spans="2:4" x14ac:dyDescent="0.2">
      <c r="B110" s="2">
        <f t="shared" si="1"/>
        <v>1.2999999999999983</v>
      </c>
      <c r="C110" s="5">
        <v>0.26520762600465453</v>
      </c>
      <c r="D110" s="5">
        <v>7.4326216874568807E-2</v>
      </c>
    </row>
    <row r="111" spans="2:4" x14ac:dyDescent="0.2">
      <c r="B111" s="2">
        <f t="shared" si="1"/>
        <v>1.3499999999999983</v>
      </c>
      <c r="C111" s="5">
        <v>0.26745662165723055</v>
      </c>
      <c r="D111" s="5">
        <v>7.1093154315411133E-2</v>
      </c>
    </row>
    <row r="112" spans="2:4" x14ac:dyDescent="0.2">
      <c r="B112" s="2">
        <f t="shared" si="1"/>
        <v>1.3999999999999984</v>
      </c>
      <c r="C112" s="5">
        <v>0.27171796451831876</v>
      </c>
      <c r="D112" s="5">
        <v>6.7860091756253502E-2</v>
      </c>
    </row>
    <row r="113" spans="2:4" x14ac:dyDescent="0.2">
      <c r="B113" s="2">
        <f t="shared" si="1"/>
        <v>1.4499999999999984</v>
      </c>
      <c r="C113" s="5">
        <v>0.27789909717748768</v>
      </c>
      <c r="D113" s="5">
        <v>6.4627029197095842E-2</v>
      </c>
    </row>
    <row r="114" spans="2:4" x14ac:dyDescent="0.2">
      <c r="B114" s="2">
        <f t="shared" si="1"/>
        <v>1.4999999999999984</v>
      </c>
      <c r="C114" s="5">
        <v>0.28587551902629282</v>
      </c>
      <c r="D114" s="5">
        <v>6.139396663793821E-2</v>
      </c>
    </row>
    <row r="115" spans="2:4" x14ac:dyDescent="0.2">
      <c r="B115" s="2">
        <f t="shared" si="1"/>
        <v>1.5499999999999985</v>
      </c>
      <c r="C115" s="5">
        <v>0.29550188618932172</v>
      </c>
      <c r="D115" s="5">
        <v>5.8160904078780579E-2</v>
      </c>
    </row>
    <row r="116" spans="2:4" x14ac:dyDescent="0.2">
      <c r="B116" s="2">
        <f t="shared" si="1"/>
        <v>1.5999999999999985</v>
      </c>
      <c r="C116" s="5">
        <v>0.30662283884398844</v>
      </c>
      <c r="D116" s="5">
        <v>5.4927841519622905E-2</v>
      </c>
    </row>
    <row r="117" spans="2:4" x14ac:dyDescent="0.2">
      <c r="B117" s="2">
        <f t="shared" si="1"/>
        <v>1.6499999999999986</v>
      </c>
      <c r="C117" s="5">
        <v>0.31908214311749145</v>
      </c>
      <c r="D117" s="5">
        <v>5.1694778960465274E-2</v>
      </c>
    </row>
    <row r="118" spans="2:4" x14ac:dyDescent="0.2">
      <c r="B118" s="2">
        <f t="shared" si="1"/>
        <v>1.6999999999999986</v>
      </c>
      <c r="C118" s="5">
        <v>0.33272948623252663</v>
      </c>
      <c r="D118" s="5">
        <v>4.8461716401307614E-2</v>
      </c>
    </row>
    <row r="119" spans="2:4" x14ac:dyDescent="0.2">
      <c r="B119" s="2">
        <f t="shared" si="1"/>
        <v>1.7499999999999987</v>
      </c>
      <c r="C119" s="5">
        <v>0.34742489282876093</v>
      </c>
      <c r="D119" s="5">
        <v>4.5228653842149982E-2</v>
      </c>
    </row>
    <row r="120" spans="2:4" x14ac:dyDescent="0.2">
      <c r="B120" s="2">
        <f t="shared" si="1"/>
        <v>1.7999999999999987</v>
      </c>
      <c r="C120" s="5">
        <v>0.36304111268835104</v>
      </c>
      <c r="D120" s="5">
        <v>4.1995591282992323E-2</v>
      </c>
    </row>
    <row r="121" spans="2:4" x14ac:dyDescent="0.2">
      <c r="B121" s="2">
        <f t="shared" si="1"/>
        <v>1.8499999999999988</v>
      </c>
      <c r="C121" s="5">
        <v>0.37946447929064592</v>
      </c>
      <c r="D121" s="5">
        <v>3.8762528723834677E-2</v>
      </c>
    </row>
    <row r="122" spans="2:4" x14ac:dyDescent="0.2">
      <c r="B122" s="2">
        <f t="shared" si="1"/>
        <v>1.8999999999999988</v>
      </c>
      <c r="C122" s="5">
        <v>0.39659473115644289</v>
      </c>
      <c r="D122" s="5">
        <v>3.5529466164677032E-2</v>
      </c>
    </row>
    <row r="123" spans="2:4" x14ac:dyDescent="0.2">
      <c r="B123" s="2">
        <f t="shared" si="1"/>
        <v>1.9499999999999988</v>
      </c>
      <c r="C123" s="5">
        <v>0.41434420318762311</v>
      </c>
      <c r="D123" s="5">
        <v>3.2296403605519386E-2</v>
      </c>
    </row>
    <row r="124" spans="2:4" x14ac:dyDescent="0.2">
      <c r="B124" s="2">
        <f t="shared" si="1"/>
        <v>1.9999999999999989</v>
      </c>
      <c r="C124" s="5">
        <v>0.4326366892043792</v>
      </c>
      <c r="D124" s="5">
        <v>2.9063341046361713E-2</v>
      </c>
    </row>
    <row r="125" spans="2:4" x14ac:dyDescent="0.2">
      <c r="B125" s="2">
        <f t="shared" si="1"/>
        <v>2.0499999999999989</v>
      </c>
      <c r="C125" s="5">
        <v>0.45140617981223075</v>
      </c>
      <c r="D125" s="5">
        <v>2.5830278487204095E-2</v>
      </c>
    </row>
    <row r="126" spans="2:4" x14ac:dyDescent="0.2">
      <c r="B126" s="2">
        <f t="shared" si="1"/>
        <v>2.0999999999999988</v>
      </c>
      <c r="C126" s="5">
        <v>0.47059560314140453</v>
      </c>
      <c r="D126" s="5">
        <v>2.2597215928046449E-2</v>
      </c>
    </row>
    <row r="127" spans="2:4" x14ac:dyDescent="0.2">
      <c r="B127" s="2">
        <f t="shared" si="1"/>
        <v>2.1499999999999986</v>
      </c>
      <c r="C127" s="5">
        <v>0.49015564101189119</v>
      </c>
      <c r="D127" s="5">
        <v>1.9364153368888803E-2</v>
      </c>
    </row>
    <row r="128" spans="2:4" x14ac:dyDescent="0.2">
      <c r="B128" s="2">
        <f t="shared" si="1"/>
        <v>2.1999999999999984</v>
      </c>
      <c r="C128" s="5">
        <v>0.51004365630006443</v>
      </c>
      <c r="D128" s="5">
        <v>1.6131090809731186E-2</v>
      </c>
    </row>
    <row r="129" spans="2:4" x14ac:dyDescent="0.2">
      <c r="B129" s="2">
        <f t="shared" si="1"/>
        <v>2.2499999999999982</v>
      </c>
      <c r="C129" s="5">
        <v>0.53022274417880644</v>
      </c>
      <c r="D129" s="5">
        <v>1.289802825057354E-2</v>
      </c>
    </row>
    <row r="130" spans="2:4" x14ac:dyDescent="0.2">
      <c r="B130" s="2">
        <f t="shared" si="1"/>
        <v>2.299999999999998</v>
      </c>
      <c r="C130" s="5">
        <v>0.55066090632391396</v>
      </c>
      <c r="D130" s="5">
        <v>9.6649656914159221E-3</v>
      </c>
    </row>
    <row r="131" spans="2:4" x14ac:dyDescent="0.2">
      <c r="B131" s="2">
        <f t="shared" si="1"/>
        <v>2.3499999999999979</v>
      </c>
      <c r="C131" s="5">
        <v>0.57133033987252091</v>
      </c>
      <c r="D131" s="5">
        <v>6.4319031322582765E-3</v>
      </c>
    </row>
    <row r="132" spans="2:4" x14ac:dyDescent="0.2">
      <c r="B132" s="2">
        <f t="shared" si="1"/>
        <v>2.3999999999999977</v>
      </c>
      <c r="C132" s="5">
        <v>0.59220682954575177</v>
      </c>
      <c r="D132" s="5">
        <v>3.1988405731006309E-3</v>
      </c>
    </row>
    <row r="133" spans="2:4" x14ac:dyDescent="0.2">
      <c r="B133" s="2">
        <f t="shared" si="1"/>
        <v>2.4499999999999975</v>
      </c>
      <c r="C133" s="5">
        <v>0.61326923032124891</v>
      </c>
      <c r="D133" s="5">
        <v>-3.4221986056987008E-5</v>
      </c>
    </row>
    <row r="134" spans="2:4" x14ac:dyDescent="0.2">
      <c r="B134" s="2">
        <f t="shared" si="1"/>
        <v>2.4999999999999973</v>
      </c>
      <c r="C134" s="5">
        <v>0.63449902833133465</v>
      </c>
      <c r="D134" s="5">
        <v>-3.2672845452146049E-3</v>
      </c>
    </row>
    <row r="135" spans="2:4" x14ac:dyDescent="0.2">
      <c r="B135" s="2">
        <f t="shared" si="1"/>
        <v>2.5499999999999972</v>
      </c>
      <c r="C135" s="5">
        <v>0.65587996862566544</v>
      </c>
      <c r="D135" s="5">
        <v>-6.5003471043722505E-3</v>
      </c>
    </row>
    <row r="136" spans="2:4" x14ac:dyDescent="0.2">
      <c r="B136" s="2">
        <f t="shared" si="1"/>
        <v>2.599999999999997</v>
      </c>
      <c r="C136" s="5">
        <v>0.67739773968607575</v>
      </c>
      <c r="D136" s="5">
        <v>-9.7334096635298961E-3</v>
      </c>
    </row>
    <row r="137" spans="2:4" x14ac:dyDescent="0.2">
      <c r="B137" s="2">
        <f t="shared" si="1"/>
        <v>2.6499999999999968</v>
      </c>
      <c r="C137" s="5">
        <v>0.69903970589345721</v>
      </c>
      <c r="D137" s="5">
        <v>-1.2966472222687542E-2</v>
      </c>
    </row>
    <row r="138" spans="2:4" x14ac:dyDescent="0.2">
      <c r="B138" s="2">
        <f t="shared" si="1"/>
        <v>2.6999999999999966</v>
      </c>
      <c r="C138" s="5">
        <v>0.72079468040200068</v>
      </c>
      <c r="D138" s="5">
        <v>-1.619953478184516E-2</v>
      </c>
    </row>
    <row r="139" spans="2:4" x14ac:dyDescent="0.2">
      <c r="B139" s="2">
        <f t="shared" si="1"/>
        <v>2.7499999999999964</v>
      </c>
      <c r="C139" s="5">
        <v>0.74265273201708371</v>
      </c>
      <c r="D139" s="5">
        <v>-1.9432597341002777E-2</v>
      </c>
    </row>
    <row r="140" spans="2:4" x14ac:dyDescent="0.2">
      <c r="B140" s="2">
        <f t="shared" si="1"/>
        <v>2.7999999999999963</v>
      </c>
      <c r="C140" s="5">
        <v>0.76460502067764358</v>
      </c>
      <c r="D140" s="5">
        <v>-2.2665659900160451E-2</v>
      </c>
    </row>
    <row r="141" spans="2:4" x14ac:dyDescent="0.2">
      <c r="B141" s="2">
        <f t="shared" si="1"/>
        <v>2.8499999999999961</v>
      </c>
      <c r="C141" s="5">
        <v>0.78664365701052108</v>
      </c>
      <c r="D141" s="5">
        <v>-2.5898722459318013E-2</v>
      </c>
    </row>
    <row r="142" spans="2:4" x14ac:dyDescent="0.2">
      <c r="B142" s="2">
        <f t="shared" si="1"/>
        <v>2.8999999999999959</v>
      </c>
      <c r="C142" s="5">
        <v>0.80876158216171323</v>
      </c>
      <c r="D142" s="5">
        <v>-2.9131785018475687E-2</v>
      </c>
    </row>
    <row r="143" spans="2:4" x14ac:dyDescent="0.2">
      <c r="B143" s="2">
        <f t="shared" si="1"/>
        <v>2.9499999999999957</v>
      </c>
      <c r="C143" s="5">
        <v>0.83095246473125894</v>
      </c>
      <c r="D143" s="5">
        <v>-3.236484757763336E-2</v>
      </c>
    </row>
    <row r="144" spans="2:4" x14ac:dyDescent="0.2">
      <c r="B144" s="2">
        <f t="shared" si="1"/>
        <v>2.9999999999999956</v>
      </c>
      <c r="C144" s="5">
        <v>0.853210612159504</v>
      </c>
      <c r="D144" s="5">
        <v>-3.5597910136790922E-2</v>
      </c>
    </row>
    <row r="145" spans="3:4" x14ac:dyDescent="0.2">
      <c r="C145" s="2">
        <v>0.45400000000000001</v>
      </c>
      <c r="D145" s="1">
        <f>C15</f>
        <v>0.15838584341266745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 asset portfolio</vt:lpstr>
      <vt:lpstr>3 asset portfolio</vt:lpstr>
      <vt:lpstr>n asset portfolio</vt:lpstr>
      <vt:lpstr>port_OPT_not_eff</vt:lpstr>
      <vt:lpstr>Portfolio Envelope</vt:lpstr>
      <vt:lpstr>Effcient frontier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Priti Jain</dc:creator>
  <cp:lastModifiedBy>Priti Jain</cp:lastModifiedBy>
  <dcterms:created xsi:type="dcterms:W3CDTF">2024-09-17T00:59:53Z</dcterms:created>
  <dcterms:modified xsi:type="dcterms:W3CDTF">2024-10-21T02:27:15Z</dcterms:modified>
</cp:coreProperties>
</file>